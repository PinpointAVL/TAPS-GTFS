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D69CD684-D0C7-2943-3DEE-EAF2D3A0B7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han/Git/TAPS-GTFS/2022-06-20/"/>
    </mc:Choice>
  </mc:AlternateContent>
  <xr:revisionPtr revIDLastSave="0" documentId="13_ncr:1_{64D5E1CF-4626-464B-AB96-1B0AF8D7EBA8}" xr6:coauthVersionLast="45" xr6:coauthVersionMax="45" xr10:uidLastSave="{00000000-0000-0000-0000-000000000000}"/>
  <bookViews>
    <workbookView xWindow="1160" yWindow="460" windowWidth="37240" windowHeight="23540" tabRatio="80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trips!$A$1:$I$97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2" i="132" l="1"/>
  <c r="C93" i="132" s="1"/>
  <c r="C94" i="132" s="1"/>
  <c r="C95" i="132" s="1"/>
  <c r="C96" i="132" s="1"/>
  <c r="C97" i="132" s="1"/>
  <c r="C85" i="132"/>
  <c r="C86" i="132" s="1"/>
  <c r="C87" i="132" s="1"/>
  <c r="C88" i="132" s="1"/>
  <c r="C89" i="132" s="1"/>
  <c r="C90" i="132" s="1"/>
  <c r="C70" i="132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44" i="132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28" i="132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rgb="FF000000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rgb="FF000000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rgb="FF000000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rgb="FF000000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<sst xmlns="http://schemas.openxmlformats.org/spreadsheetml/2006/main" count="456" uniqueCount="227">
  <si>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</si>
  <si>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</si>
  <si>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</si>
  <si>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</si>
  <si>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</si>
  <si>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</si>
  <si>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</si>
  <si>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</si>
  <si>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</si>
  <si>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</si>
  <si>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</si>
  <si>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</si>
  <si>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</si>
  <si>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</si>
  <si>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</si>
  <si>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</si>
  <si>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</si>
  <si>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</si>
  <si>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</si>
  <si>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</si>
  <si>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</si>
  <si>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</si>
  <si>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</si>
  <si>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</si>
  <si>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</si>
  <si>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</si>
  <si>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</si>
  <si>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</si>
  <si>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</si>
  <si>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</si>
  <si>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</si>
  <si>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</si>
  <si>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</si>
  <si>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</si>
  <si>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</si>
  <si>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</si>
  <si>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</si>
  <si>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</si>
  <si>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</si>
  <si>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</si>
  <si>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</si>
  <si>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</si>
  <si>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</si>
  <si>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</si>
  <si>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</si>
  <si>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</si>
  <si>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</si>
  <si>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</si>
  <si>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</si>
  <si>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</si>
  <si>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</si>
  <si>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</si>
  <si>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</si>
  <si>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</si>
  <si>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</si>
  <si>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</si>
  <si>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</si>
  <si>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</si>
  <si>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</si>
  <si>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</si>
  <si>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</si>
  <si>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</si>
  <si>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</si>
  <si>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</si>
  <si>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</si>
  <si>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</si>
  <si>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</si>
  <si>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</si>
  <si>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</si>
  <si>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</si>
  <si>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</si>
  <si>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</si>
  <si>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</si>
  <si>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</si>
  <si>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</si>
  <si>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</si>
  <si>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</si>
  <si>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</si>
  <si>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</si>
  <si>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</si>
  <si>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</si>
  <si>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</si>
  <si>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</si>
  <si>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</si>
  <si>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</si>
  <si>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</si>
  <si>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</si>
  <si>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</si>
  <si>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</si>
  <si>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</si>
  <si>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</si>
  <si>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</si>
  <si>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</si>
  <si>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</si>
  <si>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</si>
  <si>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</si>
  <si>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</si>
  <si>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</si>
  <si>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</si>
  <si>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</si>
  <si>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</si>
  <si>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</si>
  <si>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</si>
  <si>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</si>
  <si>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</si>
  <si>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</si>
  <si>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</si>
  <si>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</si>
  <si>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</si>
  <si>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</si>
  <si>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</si>
  <si>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</si>
  <si>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</si>
  <si>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</si>
  <si>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</si>
  <si>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</si>
  <si>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</si>
  <si>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</si>
  <si>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</si>
  <si>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</si>
  <si>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</si>
  <si>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</si>
  <si>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</si>
  <si>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</si>
  <si>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</si>
  <si>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</si>
  <si>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</si>
  <si>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</si>
  <si>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</si>
  <si>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</si>
  <si>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</si>
  <si>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</si>
  <si>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</si>
  <si>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</si>
  <si>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</si>
  <si>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</si>
  <si>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</si>
  <si>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</si>
  <si>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</si>
  <si>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</si>
  <si>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</si>
  <si>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</si>
  <si>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</si>
  <si>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</si>
  <si>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</si>
  <si>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</si>
  <si>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</si>
  <si>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</si>
  <si>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</si>
  <si>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</si>
  <si>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</si>
  <si>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</si>
  <si>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</si>
  <si>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</si>
  <si>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</si>
  <si>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</si>
  <si>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</si>
  <si>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</si>
  <si>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</si>
  <si>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</si>
  <si>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</si>
  <si>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</si>
  <si>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</si>
  <si>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</si>
  <si>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</si>
  <si>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</si>
  <si>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</si>
  <si>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</si>
  <si>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</si>
  <si>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</si>
  <si>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</si>
  <si>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</si>
  <si>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</si>
  <si>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</si>
  <si>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</si>
  <si>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</si>
  <si>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</si>
  <si>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</si>
  <si>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</si>
  <si>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</si>
  <si>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</si>
  <si>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</si>
  <si>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</si>
  <si>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</si>
  <si>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https://taps.ucsc.edu/</t>
  </si>
  <si>
    <t>America/Los_Angeles</t>
  </si>
  <si>
    <t>en</t>
  </si>
  <si>
    <t>UCSC Transportation and Parking Services</t>
  </si>
  <si>
    <t>taps@ucsc.edu</t>
  </si>
  <si>
    <t>831-459-4543</t>
  </si>
  <si>
    <t>003C6C</t>
  </si>
  <si>
    <t>FDC700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</si>
  <si>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</si>
  <si>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</si>
  <si>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</si>
  <si>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</si>
  <si>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</si>
  <si>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</si>
  <si>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</si>
  <si>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</si>
  <si>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</si>
  <si>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</si>
  <si>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</si>
  <si>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</si>
  <si>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</si>
  <si>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</si>
  <si>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</si>
  <si>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</si>
  <si>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</si>
  <si>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</si>
  <si>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</si>
  <si>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20220621</t>
  </si>
  <si>
    <t>20220826</t>
  </si>
  <si>
    <t>20220704</t>
  </si>
  <si>
    <t>Bike Shuttle to UCSC</t>
  </si>
  <si>
    <t>EG_LOOP</t>
  </si>
  <si>
    <t>BT_LOOP</t>
  </si>
  <si>
    <t>CVS_BIKE_SHUTTLE</t>
  </si>
  <si>
    <t>LOOP</t>
  </si>
  <si>
    <t>Outer Loop</t>
  </si>
  <si>
    <t>Inner Loop</t>
  </si>
  <si>
    <t>Inner Loop to Bay &amp; High</t>
  </si>
  <si>
    <t>Outer Loop to Bay &amp; High</t>
  </si>
  <si>
    <t>Inner Loop To Bay &amp; High</t>
  </si>
  <si>
    <t>Olive &amp; Mission (CVS)</t>
  </si>
  <si>
    <t>Baskin Circle</t>
  </si>
  <si>
    <t>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</si>
</sst>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0" fillId="0" borderId="0" xfId="0" applyFill="1"/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Fill="1" applyAlignment="1">
      <alignment vertical="top"/>
    </xf>
    <xf numFmtId="164" fontId="0" fillId="0" borderId="0" xfId="0" applyNumberFormat="1" applyFill="1" applyAlignment="1"/>
    <xf numFmtId="0" fontId="0" fillId="0" borderId="0" xfId="0" applyAlignment="1">
      <alignment vertical="top" wrapText="1"/>
    </xf>
    <xf numFmtId="0" fontId="3" fillId="0" borderId="0" xfId="0" applyFont="1" applyFill="1" applyAlignment="1">
      <alignment wrapText="1"/>
    </xf>
    <xf numFmtId="0" fontId="0" fillId="0" borderId="0" xfId="0" applyBorder="1"/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3" fillId="0" borderId="0" xfId="0" applyFont="1" applyFill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0" xfId="0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right" vertical="top"/>
    </xf>
    <xf numFmtId="0" fontId="8" fillId="0" borderId="0" xfId="1" applyFont="1" applyBorder="1" applyAlignment="1" applyProtection="1"/>
    <xf numFmtId="0" fontId="7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right" vertical="top"/>
    </xf>
    <xf numFmtId="0" fontId="3" fillId="0" borderId="0" xfId="0" applyFont="1" applyBorder="1" applyAlignment="1">
      <alignment vertical="top"/>
    </xf>
    <xf numFmtId="0" fontId="3" fillId="0" borderId="0" xfId="0" quotePrefix="1" applyFont="1" applyBorder="1" applyAlignment="1">
      <alignment horizontal="right" vertical="top"/>
    </xf>
    <xf numFmtId="0" fontId="3" fillId="0" borderId="0" xfId="0" quotePrefix="1" applyFont="1" applyBorder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Fill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0" fillId="0" borderId="0" xfId="0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Border="1" applyAlignment="1">
      <alignment vertical="top"/>
    </xf>
    <xf numFmtId="0" fontId="10" fillId="0" borderId="0" xfId="0" applyFont="1" applyBorder="1" applyAlignment="1">
      <alignment vertical="top"/>
    </xf>
    <xf numFmtId="0" fontId="12" fillId="6" borderId="0" xfId="0" applyFont="1" applyFill="1" applyBorder="1" applyAlignment="1">
      <alignment horizontal="left" vertical="top" wrapText="1"/>
    </xf>
    <xf numFmtId="0" fontId="16" fillId="6" borderId="0" xfId="0" applyFont="1" applyFill="1" applyAlignment="1"/>
    <xf numFmtId="0" fontId="16" fillId="6" borderId="0" xfId="0" applyFont="1" applyFill="1" applyAlignment="1">
      <alignment horizontal="left" wrapText="1"/>
    </xf>
    <xf numFmtId="0" fontId="2" fillId="6" borderId="0" xfId="1" applyFont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Fill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Fill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6553"/>
          <a:ext cx="3517871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93023"/>
          <a:ext cx="3517871" cy="544124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9311"/>
          <a:ext cx="3517871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61483"/>
          <a:ext cx="3510700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52441"/>
          <a:ext cx="3517871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14652"/>
          <a:ext cx="3574926" cy="639826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42114"/>
          <a:ext cx="3517871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42338"/>
          <a:ext cx="3520498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 editAs="oneCell">
    <xdr:from>
      <xdr:col>0</xdr:col>
      <xdr:colOff>965200</xdr:colOff>
      <xdr:row>45</xdr:row>
      <xdr:rowOff>114300</xdr:rowOff>
    </xdr:from>
    <xdr:to>
      <xdr:col>2</xdr:col>
      <xdr:colOff>1193800</xdr:colOff>
      <xdr:row>45</xdr:row>
      <xdr:rowOff>596900</xdr:rowOff>
    </xdr:to>
    <xdr:pic>
      <xdr:nvPicPr>
        <xdr:cNvPr id="6" name="cmdImportAppend">
          <a:extLst>
            <a:ext uri="{FF2B5EF4-FFF2-40B4-BE49-F238E27FC236}">
              <a16:creationId xmlns:a16="http://schemas.microsoft.com/office/drawing/2014/main" id="{A2417128-C432-694E-8C8B-6D79663BFC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1849100"/>
          <a:ext cx="34163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31</xdr:row>
      <xdr:rowOff>177800</xdr:rowOff>
    </xdr:from>
    <xdr:to>
      <xdr:col>2</xdr:col>
      <xdr:colOff>1193800</xdr:colOff>
      <xdr:row>32</xdr:row>
      <xdr:rowOff>12700</xdr:rowOff>
    </xdr:to>
    <xdr:pic>
      <xdr:nvPicPr>
        <xdr:cNvPr id="7" name="cmdExport">
          <a:extLst>
            <a:ext uri="{FF2B5EF4-FFF2-40B4-BE49-F238E27FC236}">
              <a16:creationId xmlns:a16="http://schemas.microsoft.com/office/drawing/2014/main" id="{83A30D64-3D55-1C45-A897-0973829D43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65786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46</xdr:row>
      <xdr:rowOff>114300</xdr:rowOff>
    </xdr:from>
    <xdr:to>
      <xdr:col>2</xdr:col>
      <xdr:colOff>1181100</xdr:colOff>
      <xdr:row>46</xdr:row>
      <xdr:rowOff>609600</xdr:rowOff>
    </xdr:to>
    <xdr:pic>
      <xdr:nvPicPr>
        <xdr:cNvPr id="20" name="cmdImportXLS">
          <a:extLst>
            <a:ext uri="{FF2B5EF4-FFF2-40B4-BE49-F238E27FC236}">
              <a16:creationId xmlns:a16="http://schemas.microsoft.com/office/drawing/2014/main" id="{9DD4E595-65D2-1B48-A8A4-A9637E152A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12611100"/>
          <a:ext cx="33909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965200</xdr:colOff>
      <xdr:row>41</xdr:row>
      <xdr:rowOff>63500</xdr:rowOff>
    </xdr:from>
    <xdr:to>
      <xdr:col>2</xdr:col>
      <xdr:colOff>1181100</xdr:colOff>
      <xdr:row>41</xdr:row>
      <xdr:rowOff>558800</xdr:rowOff>
    </xdr:to>
    <xdr:pic>
      <xdr:nvPicPr>
        <xdr:cNvPr id="21" name="cmdExportKML">
          <a:extLst>
            <a:ext uri="{FF2B5EF4-FFF2-40B4-BE49-F238E27FC236}">
              <a16:creationId xmlns:a16="http://schemas.microsoft.com/office/drawing/2014/main" id="{4B0DEA8B-5090-D248-B4CF-2129AD1C35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0769600"/>
          <a:ext cx="34036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1016000</xdr:colOff>
      <xdr:row>33</xdr:row>
      <xdr:rowOff>114300</xdr:rowOff>
    </xdr:from>
    <xdr:to>
      <xdr:col>2</xdr:col>
      <xdr:colOff>1206500</xdr:colOff>
      <xdr:row>33</xdr:row>
      <xdr:rowOff>596900</xdr:rowOff>
    </xdr:to>
    <xdr:pic>
      <xdr:nvPicPr>
        <xdr:cNvPr id="22" name="cmdCalcDist_stop_times">
          <a:extLst>
            <a:ext uri="{FF2B5EF4-FFF2-40B4-BE49-F238E27FC236}">
              <a16:creationId xmlns:a16="http://schemas.microsoft.com/office/drawing/2014/main" id="{234BC738-2E7C-5A44-AB73-1B14E6FF61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7366000"/>
          <a:ext cx="33782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990600</xdr:colOff>
      <xdr:row>35</xdr:row>
      <xdr:rowOff>127000</xdr:rowOff>
    </xdr:from>
    <xdr:to>
      <xdr:col>2</xdr:col>
      <xdr:colOff>1244600</xdr:colOff>
      <xdr:row>35</xdr:row>
      <xdr:rowOff>635000</xdr:rowOff>
    </xdr:to>
    <xdr:pic>
      <xdr:nvPicPr>
        <xdr:cNvPr id="23" name="cmdCalcShapeDistances">
          <a:extLst>
            <a:ext uri="{FF2B5EF4-FFF2-40B4-BE49-F238E27FC236}">
              <a16:creationId xmlns:a16="http://schemas.microsoft.com/office/drawing/2014/main" id="{2E33CCE4-4F66-9749-98D7-99616E3352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8229600"/>
          <a:ext cx="34417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39</xdr:row>
      <xdr:rowOff>88900</xdr:rowOff>
    </xdr:from>
    <xdr:to>
      <xdr:col>2</xdr:col>
      <xdr:colOff>1193800</xdr:colOff>
      <xdr:row>39</xdr:row>
      <xdr:rowOff>584200</xdr:rowOff>
    </xdr:to>
    <xdr:pic>
      <xdr:nvPicPr>
        <xdr:cNvPr id="24" name="cmdStopsWhereUsed">
          <a:extLst>
            <a:ext uri="{FF2B5EF4-FFF2-40B4-BE49-F238E27FC236}">
              <a16:creationId xmlns:a16="http://schemas.microsoft.com/office/drawing/2014/main" id="{3A9D45F7-BB33-F745-8C6D-1380374B26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99441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37</xdr:row>
      <xdr:rowOff>139700</xdr:rowOff>
    </xdr:from>
    <xdr:to>
      <xdr:col>2</xdr:col>
      <xdr:colOff>1257300</xdr:colOff>
      <xdr:row>37</xdr:row>
      <xdr:rowOff>558800</xdr:rowOff>
    </xdr:to>
    <xdr:pic>
      <xdr:nvPicPr>
        <xdr:cNvPr id="25" name="cmdInterp">
          <a:extLst>
            <a:ext uri="{FF2B5EF4-FFF2-40B4-BE49-F238E27FC236}">
              <a16:creationId xmlns:a16="http://schemas.microsoft.com/office/drawing/2014/main" id="{F087419E-6B7B-9448-9DB5-84B0003501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9144000"/>
          <a:ext cx="34671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tfs.org/reference/static/" TargetMode="External"/><Relationship Id="rId13" Type="http://schemas.openxmlformats.org/officeDocument/2006/relationships/hyperlink" Target="https://code.google.com/p/googletransitdatafeed/wiki/FareExamples" TargetMode="External"/><Relationship Id="rId3" Type="http://schemas.openxmlformats.org/officeDocument/2006/relationships/hyperlink" Target="https://developers.google.com/transit/gtfs/reference" TargetMode="External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developers.google.com/transit/gtfs/reference" TargetMode="External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AD91"/>
  <sheetViews>
    <sheetView showGridLines="0" zoomScale="133" zoomScaleNormal="85" workbookViewId="0">
      <selection activeCell="C18" sqref="C18"/>
    </sheetView>
  </sheetViews>
  <sheetFormatPr baseColWidth="10" defaultColWidth="8.83203125" defaultRowHeight="16" x14ac:dyDescent="0.15"/>
  <cols>
    <col min="1" max="1" width="14.33203125" style="12" customWidth="1"/>
    <col min="2" max="2" width="27.5" style="1" customWidth="1"/>
    <col min="3" max="3" width="20.83203125" style="1" customWidth="1"/>
    <col min="4" max="4" width="88.6640625" style="1" customWidth="1"/>
    <col min="5" max="5" width="3.33203125" style="7" customWidth="1"/>
    <col min="6" max="6" width="8.83203125" style="43"/>
    <col min="7" max="7" width="10.5" style="1" customWidth="1"/>
    <col min="8" max="16384" width="8.83203125" style="1"/>
  </cols>
  <sheetData>
    <row r="1" spans="1:9" x14ac:dyDescent="0.2">
      <c r="A1" s="58" t="s">
        <v>136</v>
      </c>
      <c r="B1" s="18" t="s">
        <v>181</v>
      </c>
      <c r="C1" s="102" t="s">
        <v>182</v>
      </c>
      <c r="D1" s="20"/>
      <c r="E1" s="54"/>
      <c r="F1" s="11"/>
      <c r="G1"/>
    </row>
    <row r="2" spans="1:9" ht="8.5" customHeight="1" x14ac:dyDescent="0.2">
      <c r="A2" s="58"/>
      <c r="B2" s="18"/>
      <c r="C2" s="19"/>
      <c r="D2" s="20"/>
      <c r="E2" s="54"/>
      <c r="F2" s="11"/>
      <c r="G2"/>
    </row>
    <row r="3" spans="1:9" ht="45" x14ac:dyDescent="0.15">
      <c r="A3" s="59" t="s">
        <v>157</v>
      </c>
      <c r="B3" s="21"/>
      <c r="C3" s="22"/>
      <c r="D3" s="70" t="s">
        <v>137</v>
      </c>
      <c r="E3" s="55"/>
    </row>
    <row r="4" spans="1:9" ht="9.5" customHeight="1" x14ac:dyDescent="0.2">
      <c r="A4" s="58"/>
      <c r="B4" s="22"/>
      <c r="C4" s="22"/>
      <c r="D4" s="22"/>
      <c r="E4" s="55"/>
    </row>
    <row r="5" spans="1:9" ht="26.5" customHeight="1" x14ac:dyDescent="0.2">
      <c r="A5" s="58" t="s">
        <v>138</v>
      </c>
      <c r="B5" s="71" t="s">
        <v>139</v>
      </c>
      <c r="C5" s="72" t="s">
        <v>140</v>
      </c>
      <c r="D5" s="71" t="s">
        <v>141</v>
      </c>
      <c r="E5" s="54"/>
      <c r="I5" s="6" t="s">
        <v>158</v>
      </c>
    </row>
    <row r="6" spans="1:9" ht="18.5" customHeight="1" x14ac:dyDescent="0.2">
      <c r="A6" s="58"/>
      <c r="B6" s="74" t="s">
        <v>152</v>
      </c>
      <c r="C6" s="23" t="s">
        <v>4</v>
      </c>
      <c r="D6" s="24" t="s">
        <v>142</v>
      </c>
      <c r="E6" s="54"/>
    </row>
    <row r="7" spans="1:9" ht="9" customHeight="1" x14ac:dyDescent="0.2">
      <c r="A7" s="58"/>
      <c r="B7" s="75"/>
      <c r="C7" s="25"/>
      <c r="D7" s="26"/>
      <c r="E7" s="54"/>
    </row>
    <row r="8" spans="1:9" ht="18" customHeight="1" x14ac:dyDescent="0.2">
      <c r="A8" s="58"/>
      <c r="B8" s="76" t="s">
        <v>147</v>
      </c>
      <c r="C8" s="23" t="s">
        <v>9</v>
      </c>
      <c r="D8" s="24" t="s">
        <v>142</v>
      </c>
      <c r="E8" s="54"/>
    </row>
    <row r="9" spans="1:9" ht="9" customHeight="1" x14ac:dyDescent="0.2">
      <c r="A9" s="58"/>
      <c r="B9" s="75"/>
      <c r="C9" s="25"/>
      <c r="D9" s="26"/>
      <c r="E9" s="54"/>
    </row>
    <row r="10" spans="1:9" ht="26.25" customHeight="1" x14ac:dyDescent="0.2">
      <c r="A10" s="58"/>
      <c r="B10" s="77" t="s">
        <v>146</v>
      </c>
      <c r="C10" s="23" t="s">
        <v>10</v>
      </c>
      <c r="D10" s="100" t="s">
        <v>180</v>
      </c>
      <c r="E10" s="54"/>
    </row>
    <row r="11" spans="1:9" ht="9" customHeight="1" x14ac:dyDescent="0.2">
      <c r="A11" s="58"/>
      <c r="B11" s="78"/>
      <c r="C11" s="27"/>
      <c r="D11" s="26"/>
      <c r="E11" s="54"/>
    </row>
    <row r="12" spans="1:9" ht="25.5" customHeight="1" x14ac:dyDescent="0.2">
      <c r="A12" s="58"/>
      <c r="B12" s="79" t="s">
        <v>150</v>
      </c>
      <c r="C12" s="23" t="s">
        <v>6</v>
      </c>
      <c r="D12" s="24" t="s">
        <v>159</v>
      </c>
      <c r="E12" s="54"/>
    </row>
    <row r="13" spans="1:9" ht="9" customHeight="1" x14ac:dyDescent="0.2">
      <c r="A13" s="58"/>
      <c r="B13" s="75"/>
      <c r="C13" s="25"/>
      <c r="D13" s="26"/>
      <c r="E13" s="54"/>
    </row>
    <row r="14" spans="1:9" ht="18" customHeight="1" x14ac:dyDescent="0.2">
      <c r="A14" s="60"/>
      <c r="B14" s="80" t="s">
        <v>151</v>
      </c>
      <c r="C14" s="23" t="s">
        <v>5</v>
      </c>
      <c r="D14" s="24" t="s">
        <v>142</v>
      </c>
      <c r="E14" s="54"/>
    </row>
    <row r="15" spans="1:9" ht="9" customHeight="1" x14ac:dyDescent="0.2">
      <c r="A15" s="58"/>
      <c r="B15" s="78"/>
      <c r="C15" s="27"/>
      <c r="D15" s="26"/>
      <c r="E15" s="54"/>
    </row>
    <row r="16" spans="1:9" ht="18" customHeight="1" x14ac:dyDescent="0.2">
      <c r="A16" s="58"/>
      <c r="B16" s="81" t="s">
        <v>148</v>
      </c>
      <c r="C16" s="23" t="s">
        <v>8</v>
      </c>
      <c r="D16" s="24" t="s">
        <v>142</v>
      </c>
      <c r="E16" s="54"/>
    </row>
    <row r="17" spans="1:5" ht="9" customHeight="1" x14ac:dyDescent="0.2">
      <c r="A17" s="58"/>
      <c r="B17" s="75"/>
      <c r="C17" s="25"/>
      <c r="D17" s="26"/>
      <c r="E17" s="54"/>
    </row>
    <row r="18" spans="1:5" ht="25.25" customHeight="1" x14ac:dyDescent="0.2">
      <c r="A18" s="58"/>
      <c r="B18" s="82" t="s">
        <v>149</v>
      </c>
      <c r="C18" s="23" t="s">
        <v>7</v>
      </c>
      <c r="D18" s="24" t="s">
        <v>160</v>
      </c>
      <c r="E18" s="54"/>
    </row>
    <row r="19" spans="1:5" ht="9" customHeight="1" x14ac:dyDescent="0.2">
      <c r="A19" s="58"/>
      <c r="B19" s="75"/>
      <c r="C19" s="25"/>
      <c r="D19" s="26"/>
      <c r="E19" s="54"/>
    </row>
    <row r="20" spans="1:5" ht="18" customHeight="1" x14ac:dyDescent="0.2">
      <c r="A20" s="58"/>
      <c r="B20" s="83" t="s">
        <v>153</v>
      </c>
      <c r="C20" s="23" t="s">
        <v>123</v>
      </c>
      <c r="D20" s="24" t="s">
        <v>142</v>
      </c>
      <c r="E20" s="54"/>
    </row>
    <row r="21" spans="1:5" ht="10.25" customHeight="1" x14ac:dyDescent="0.2">
      <c r="A21" s="58"/>
      <c r="B21" s="75"/>
      <c r="C21" s="25"/>
      <c r="D21" s="26"/>
      <c r="E21" s="54"/>
    </row>
    <row r="22" spans="1:5" ht="26" customHeight="1" x14ac:dyDescent="0.2">
      <c r="A22" s="58"/>
      <c r="B22" s="84" t="s">
        <v>154</v>
      </c>
      <c r="C22" s="23" t="s">
        <v>13</v>
      </c>
      <c r="D22" s="24" t="s">
        <v>164</v>
      </c>
      <c r="E22" s="54"/>
    </row>
    <row r="23" spans="1:5" ht="9" customHeight="1" x14ac:dyDescent="0.2">
      <c r="A23" s="58"/>
      <c r="B23" s="75"/>
      <c r="C23" s="25"/>
      <c r="D23" s="26"/>
      <c r="E23" s="54"/>
    </row>
    <row r="24" spans="1:5" ht="18" customHeight="1" x14ac:dyDescent="0.2">
      <c r="A24" s="58"/>
      <c r="B24" s="85" t="s">
        <v>155</v>
      </c>
      <c r="C24" s="23" t="s">
        <v>11</v>
      </c>
      <c r="D24" s="24" t="s">
        <v>143</v>
      </c>
      <c r="E24" s="54"/>
    </row>
    <row r="25" spans="1:5" ht="9" customHeight="1" x14ac:dyDescent="0.2">
      <c r="A25" s="58"/>
      <c r="B25" s="75"/>
      <c r="C25" s="25"/>
      <c r="D25" s="26"/>
      <c r="E25" s="54"/>
    </row>
    <row r="26" spans="1:5" ht="26" customHeight="1" x14ac:dyDescent="0.2">
      <c r="A26" s="58"/>
      <c r="B26" s="86" t="s">
        <v>156</v>
      </c>
      <c r="C26" s="88" t="s">
        <v>12</v>
      </c>
      <c r="D26" s="91" t="s">
        <v>165</v>
      </c>
      <c r="E26" s="54"/>
    </row>
    <row r="27" spans="1:5" ht="12" customHeight="1" x14ac:dyDescent="0.2">
      <c r="A27" s="58"/>
      <c r="B27" s="87"/>
      <c r="C27" s="89"/>
      <c r="D27" s="90" t="s">
        <v>166</v>
      </c>
      <c r="E27" s="54"/>
    </row>
    <row r="28" spans="1:5" ht="9" customHeight="1" x14ac:dyDescent="0.2">
      <c r="A28" s="58"/>
      <c r="B28" s="75"/>
      <c r="C28" s="28"/>
      <c r="D28" s="26"/>
      <c r="E28" s="54"/>
    </row>
    <row r="29" spans="1:5" ht="18" customHeight="1" x14ac:dyDescent="0.2">
      <c r="A29" s="58"/>
      <c r="B29" s="85" t="s">
        <v>34</v>
      </c>
      <c r="C29" s="23" t="s">
        <v>14</v>
      </c>
      <c r="D29" s="24" t="s">
        <v>143</v>
      </c>
      <c r="E29" s="54"/>
    </row>
    <row r="30" spans="1:5" ht="17" customHeight="1" x14ac:dyDescent="0.2">
      <c r="A30" s="61"/>
      <c r="B30" s="17"/>
      <c r="C30" s="13"/>
    </row>
    <row r="31" spans="1:5" ht="17.25" customHeight="1" x14ac:dyDescent="0.2">
      <c r="A31" s="62" t="s">
        <v>144</v>
      </c>
      <c r="B31" s="33"/>
      <c r="C31" s="34"/>
      <c r="D31" s="35"/>
    </row>
    <row r="32" spans="1:5" ht="52.5" customHeight="1" x14ac:dyDescent="0.15">
      <c r="A32" s="63"/>
      <c r="B32" s="36"/>
      <c r="C32" s="34"/>
      <c r="D32" s="29" t="s">
        <v>163</v>
      </c>
    </row>
    <row r="33" spans="1:30" ht="15.75" customHeight="1" x14ac:dyDescent="0.2">
      <c r="A33" s="63"/>
      <c r="B33" s="33"/>
      <c r="C33" s="34"/>
      <c r="D33" s="73"/>
    </row>
    <row r="34" spans="1:30" ht="52.25" customHeight="1" x14ac:dyDescent="0.2">
      <c r="A34" s="63"/>
      <c r="B34" s="33"/>
      <c r="C34" s="34"/>
      <c r="D34" s="29" t="s">
        <v>175</v>
      </c>
      <c r="E34" s="99"/>
      <c r="F34" s="42"/>
      <c r="G34" s="7"/>
      <c r="H34" s="7"/>
    </row>
    <row r="35" spans="1:30" ht="15.75" customHeight="1" x14ac:dyDescent="0.15">
      <c r="A35" s="64"/>
      <c r="B35" s="37"/>
      <c r="C35" s="38"/>
      <c r="D35" s="35"/>
      <c r="F35" s="11"/>
      <c r="G35"/>
    </row>
    <row r="36" spans="1:30" ht="56" customHeight="1" x14ac:dyDescent="0.15">
      <c r="A36" s="62"/>
      <c r="B36" s="35"/>
      <c r="C36" s="35"/>
      <c r="D36" s="29" t="s">
        <v>168</v>
      </c>
    </row>
    <row r="37" spans="1:30" s="7" customFormat="1" ht="15.75" customHeight="1" x14ac:dyDescent="0.15">
      <c r="A37" s="37"/>
      <c r="B37" s="36"/>
      <c r="C37" s="35"/>
      <c r="D37" s="30"/>
      <c r="F37" s="42"/>
    </row>
    <row r="38" spans="1:30" s="7" customFormat="1" ht="52.25" customHeight="1" x14ac:dyDescent="0.15">
      <c r="A38" s="37"/>
      <c r="B38" s="36"/>
      <c r="C38" s="35"/>
      <c r="D38" s="92" t="s">
        <v>169</v>
      </c>
      <c r="F38" s="42"/>
    </row>
    <row r="39" spans="1:30" s="7" customFormat="1" ht="15.75" customHeight="1" x14ac:dyDescent="0.15">
      <c r="A39" s="37"/>
      <c r="B39" s="39"/>
      <c r="C39" s="35"/>
      <c r="D39" s="30"/>
      <c r="F39" s="42"/>
    </row>
    <row r="40" spans="1:30" ht="52.25" customHeight="1" x14ac:dyDescent="0.15">
      <c r="A40" s="37"/>
      <c r="B40" s="36"/>
      <c r="C40" s="35"/>
      <c r="D40" s="29" t="s">
        <v>170</v>
      </c>
    </row>
    <row r="41" spans="1:30" ht="15.75" customHeight="1" x14ac:dyDescent="0.15">
      <c r="A41" s="37"/>
      <c r="B41" s="35"/>
      <c r="C41" s="35"/>
      <c r="D41" s="31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52.25" customHeight="1" x14ac:dyDescent="0.15">
      <c r="A42" s="62"/>
      <c r="B42" s="35"/>
      <c r="C42" s="35"/>
      <c r="D42" s="29" t="s">
        <v>171</v>
      </c>
      <c r="G42" s="7"/>
      <c r="H42" s="41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3.75" customHeight="1" x14ac:dyDescent="0.15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0.5" customHeight="1" x14ac:dyDescent="0.15">
      <c r="A44" s="65"/>
      <c r="B44" s="40"/>
      <c r="C44" s="41"/>
      <c r="D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15">
      <c r="A45" s="66" t="s">
        <v>2</v>
      </c>
      <c r="B45" s="35"/>
      <c r="C45" s="35"/>
      <c r="D45" s="35"/>
    </row>
    <row r="46" spans="1:30" ht="60.5" customHeight="1" x14ac:dyDescent="0.15">
      <c r="A46" s="37"/>
      <c r="B46" s="39"/>
      <c r="C46" s="35"/>
      <c r="D46" s="28" t="s">
        <v>172</v>
      </c>
    </row>
    <row r="47" spans="1:30" ht="60" customHeight="1" x14ac:dyDescent="0.15">
      <c r="A47" s="37"/>
      <c r="B47" s="39"/>
      <c r="C47" s="35"/>
      <c r="D47" s="29" t="s">
        <v>145</v>
      </c>
    </row>
    <row r="48" spans="1:30" ht="15" customHeight="1" x14ac:dyDescent="0.15">
      <c r="A48" s="37"/>
      <c r="B48" s="53" t="s">
        <v>161</v>
      </c>
      <c r="C48" s="52"/>
      <c r="D48" s="53"/>
    </row>
    <row r="49" spans="1:6" ht="15" customHeight="1" x14ac:dyDescent="0.15">
      <c r="A49" s="37"/>
      <c r="B49" s="53" t="s">
        <v>162</v>
      </c>
      <c r="C49" s="52"/>
      <c r="D49" s="53"/>
    </row>
    <row r="50" spans="1:6" s="98" customFormat="1" ht="35.5" customHeight="1" x14ac:dyDescent="0.2">
      <c r="A50" s="94" t="s">
        <v>173</v>
      </c>
      <c r="B50" s="95" t="s">
        <v>167</v>
      </c>
      <c r="C50" s="96" t="s">
        <v>174</v>
      </c>
      <c r="D50" s="97"/>
    </row>
    <row r="51" spans="1:6" ht="12" customHeight="1" x14ac:dyDescent="0.2">
      <c r="A51" s="67"/>
      <c r="B51" s="42"/>
      <c r="C51" s="42"/>
      <c r="D51" s="42"/>
      <c r="E51" s="42"/>
    </row>
    <row r="52" spans="1:6" s="32" customFormat="1" ht="10.25" hidden="1" customHeight="1" x14ac:dyDescent="0.15">
      <c r="A52" s="68"/>
      <c r="B52" s="45" t="s">
        <v>94</v>
      </c>
      <c r="C52" s="46" t="s">
        <v>93</v>
      </c>
      <c r="D52" s="44"/>
      <c r="E52" s="47"/>
      <c r="F52" s="44"/>
    </row>
    <row r="53" spans="1:6" hidden="1" x14ac:dyDescent="0.15">
      <c r="A53" s="69" t="s">
        <v>78</v>
      </c>
      <c r="B53" s="43"/>
      <c r="C53" s="43"/>
      <c r="D53" s="43"/>
      <c r="E53" s="42"/>
    </row>
    <row r="54" spans="1:6" hidden="1" x14ac:dyDescent="0.15">
      <c r="A54" s="69"/>
      <c r="B54" s="43">
        <v>20090120</v>
      </c>
      <c r="C54" s="43" t="s">
        <v>79</v>
      </c>
      <c r="D54" s="43"/>
      <c r="E54" s="42"/>
    </row>
    <row r="55" spans="1:6" hidden="1" x14ac:dyDescent="0.15">
      <c r="A55" s="69"/>
      <c r="B55" s="43">
        <v>20090128</v>
      </c>
      <c r="C55" s="43" t="s">
        <v>80</v>
      </c>
      <c r="D55" s="43"/>
      <c r="E55" s="42"/>
    </row>
    <row r="56" spans="1:6" hidden="1" x14ac:dyDescent="0.15">
      <c r="A56" s="69"/>
      <c r="B56" s="43">
        <v>20090213</v>
      </c>
      <c r="C56" s="43" t="s">
        <v>1</v>
      </c>
      <c r="D56" s="43"/>
      <c r="E56" s="42"/>
    </row>
    <row r="57" spans="1:6" hidden="1" x14ac:dyDescent="0.15">
      <c r="A57" s="69"/>
      <c r="B57" s="43">
        <v>20090213</v>
      </c>
      <c r="C57" s="43" t="s">
        <v>81</v>
      </c>
      <c r="D57" s="43"/>
      <c r="E57" s="42"/>
    </row>
    <row r="58" spans="1:6" hidden="1" x14ac:dyDescent="0.15">
      <c r="A58" s="69"/>
      <c r="B58" s="43">
        <v>20090224</v>
      </c>
      <c r="C58" s="43" t="s">
        <v>3</v>
      </c>
      <c r="D58" s="43"/>
      <c r="E58" s="42"/>
    </row>
    <row r="59" spans="1:6" hidden="1" x14ac:dyDescent="0.15">
      <c r="A59" s="69"/>
      <c r="B59" s="43">
        <v>20090303</v>
      </c>
      <c r="C59" s="43" t="s">
        <v>0</v>
      </c>
      <c r="D59" s="43"/>
      <c r="E59" s="42"/>
    </row>
    <row r="60" spans="1:6" hidden="1" x14ac:dyDescent="0.15">
      <c r="A60" s="69"/>
      <c r="B60" s="43">
        <v>20090326</v>
      </c>
      <c r="C60" s="43" t="s">
        <v>82</v>
      </c>
      <c r="D60" s="43"/>
      <c r="E60" s="42"/>
    </row>
    <row r="61" spans="1:6" hidden="1" x14ac:dyDescent="0.15">
      <c r="A61" s="69"/>
      <c r="B61" s="43">
        <v>20100122</v>
      </c>
      <c r="C61" s="43" t="s">
        <v>83</v>
      </c>
      <c r="D61" s="43"/>
      <c r="E61" s="42"/>
    </row>
    <row r="62" spans="1:6" hidden="1" x14ac:dyDescent="0.15">
      <c r="A62" s="69"/>
      <c r="B62" s="43">
        <v>20100811</v>
      </c>
      <c r="C62" s="43" t="s">
        <v>85</v>
      </c>
      <c r="D62" s="43"/>
      <c r="E62" s="42"/>
    </row>
    <row r="63" spans="1:6" hidden="1" x14ac:dyDescent="0.15">
      <c r="A63" s="69"/>
      <c r="B63" s="43">
        <v>20101115</v>
      </c>
      <c r="C63" s="43" t="s">
        <v>86</v>
      </c>
      <c r="D63" s="43"/>
      <c r="E63" s="42"/>
    </row>
    <row r="64" spans="1:6" hidden="1" x14ac:dyDescent="0.15">
      <c r="A64" s="69"/>
      <c r="B64" s="48" t="s">
        <v>91</v>
      </c>
      <c r="C64" s="49" t="s">
        <v>92</v>
      </c>
      <c r="D64" s="43"/>
      <c r="E64" s="42"/>
    </row>
    <row r="65" spans="1:5" hidden="1" x14ac:dyDescent="0.15">
      <c r="A65" s="69"/>
      <c r="B65" s="43"/>
      <c r="C65" s="43" t="s">
        <v>95</v>
      </c>
      <c r="D65" s="43"/>
      <c r="E65" s="42"/>
    </row>
    <row r="66" spans="1:5" hidden="1" x14ac:dyDescent="0.15">
      <c r="A66" s="69"/>
      <c r="B66" s="43"/>
      <c r="C66" s="49" t="s">
        <v>108</v>
      </c>
      <c r="D66" s="43"/>
      <c r="E66" s="42"/>
    </row>
    <row r="67" spans="1:5" hidden="1" x14ac:dyDescent="0.15">
      <c r="A67" s="69"/>
      <c r="B67" s="50" t="s">
        <v>97</v>
      </c>
      <c r="C67" s="43" t="s">
        <v>96</v>
      </c>
      <c r="D67" s="43"/>
      <c r="E67" s="42"/>
    </row>
    <row r="68" spans="1:5" hidden="1" x14ac:dyDescent="0.15">
      <c r="A68" s="69"/>
      <c r="B68" s="43">
        <v>20110603</v>
      </c>
      <c r="C68" s="43" t="s">
        <v>98</v>
      </c>
      <c r="D68" s="43"/>
      <c r="E68" s="42"/>
    </row>
    <row r="69" spans="1:5" hidden="1" x14ac:dyDescent="0.15">
      <c r="A69" s="69"/>
      <c r="B69" s="43">
        <v>20110909</v>
      </c>
      <c r="C69" s="43" t="s">
        <v>99</v>
      </c>
      <c r="D69" s="43"/>
      <c r="E69" s="42"/>
    </row>
    <row r="70" spans="1:5" hidden="1" x14ac:dyDescent="0.15">
      <c r="A70" s="69"/>
      <c r="B70" s="43">
        <v>20130301</v>
      </c>
      <c r="C70" s="43" t="s">
        <v>100</v>
      </c>
      <c r="D70" s="43"/>
      <c r="E70" s="42"/>
    </row>
    <row r="71" spans="1:5" hidden="1" x14ac:dyDescent="0.15">
      <c r="A71" s="69"/>
      <c r="B71" s="51">
        <v>20130308</v>
      </c>
      <c r="C71" s="49" t="s">
        <v>103</v>
      </c>
      <c r="D71" s="43"/>
      <c r="E71" s="42"/>
    </row>
    <row r="72" spans="1:5" hidden="1" x14ac:dyDescent="0.15">
      <c r="A72" s="69"/>
      <c r="B72" s="43"/>
      <c r="C72" s="49" t="s">
        <v>104</v>
      </c>
      <c r="D72" s="43"/>
      <c r="E72" s="42"/>
    </row>
    <row r="73" spans="1:5" hidden="1" x14ac:dyDescent="0.15">
      <c r="A73" s="69"/>
      <c r="B73" s="43">
        <v>20130411</v>
      </c>
      <c r="C73" s="49" t="s">
        <v>107</v>
      </c>
      <c r="D73" s="43"/>
      <c r="E73" s="42"/>
    </row>
    <row r="74" spans="1:5" hidden="1" x14ac:dyDescent="0.15">
      <c r="A74" s="69"/>
      <c r="B74" s="43"/>
      <c r="C74" s="43" t="s">
        <v>109</v>
      </c>
      <c r="D74" s="43"/>
      <c r="E74" s="42"/>
    </row>
    <row r="75" spans="1:5" hidden="1" x14ac:dyDescent="0.15">
      <c r="A75" s="69"/>
      <c r="B75" s="43">
        <v>20150901</v>
      </c>
      <c r="C75" s="49" t="s">
        <v>110</v>
      </c>
      <c r="D75" s="43"/>
      <c r="E75" s="42"/>
    </row>
    <row r="76" spans="1:5" hidden="1" x14ac:dyDescent="0.15">
      <c r="A76" s="69"/>
      <c r="B76" s="43">
        <v>20150914</v>
      </c>
      <c r="C76" s="43" t="s">
        <v>116</v>
      </c>
      <c r="D76" s="43"/>
      <c r="E76" s="42"/>
    </row>
    <row r="77" spans="1:5" hidden="1" x14ac:dyDescent="0.15">
      <c r="A77" s="69"/>
      <c r="B77" s="43"/>
      <c r="C77" s="43" t="s">
        <v>117</v>
      </c>
      <c r="D77" s="43"/>
      <c r="E77" s="42"/>
    </row>
    <row r="78" spans="1:5" hidden="1" x14ac:dyDescent="0.15">
      <c r="A78" s="69"/>
      <c r="B78" s="43">
        <v>20150915</v>
      </c>
      <c r="C78" s="43" t="s">
        <v>118</v>
      </c>
      <c r="D78" s="43"/>
      <c r="E78" s="42"/>
    </row>
    <row r="79" spans="1:5" hidden="1" x14ac:dyDescent="0.15">
      <c r="A79" s="69"/>
      <c r="B79" s="43">
        <v>20150918</v>
      </c>
      <c r="C79" s="43" t="s">
        <v>119</v>
      </c>
      <c r="D79" s="43"/>
      <c r="E79" s="42"/>
    </row>
    <row r="80" spans="1:5" hidden="1" x14ac:dyDescent="0.15">
      <c r="A80" s="69"/>
      <c r="B80" s="43">
        <v>20151002</v>
      </c>
      <c r="C80" s="43" t="s">
        <v>120</v>
      </c>
      <c r="D80" s="43"/>
      <c r="E80" s="42"/>
    </row>
    <row r="81" spans="1:5" hidden="1" x14ac:dyDescent="0.15">
      <c r="A81" s="69"/>
      <c r="B81" s="43"/>
      <c r="C81" s="43" t="s">
        <v>121</v>
      </c>
      <c r="D81" s="43"/>
      <c r="E81" s="42"/>
    </row>
    <row r="82" spans="1:5" hidden="1" x14ac:dyDescent="0.15">
      <c r="A82" s="69"/>
      <c r="B82" s="43">
        <v>20151005</v>
      </c>
      <c r="C82" s="43" t="s">
        <v>122</v>
      </c>
      <c r="D82" s="43"/>
      <c r="E82" s="42"/>
    </row>
    <row r="83" spans="1:5" hidden="1" x14ac:dyDescent="0.15">
      <c r="A83" s="69"/>
      <c r="B83" s="43">
        <v>20151009</v>
      </c>
      <c r="C83" s="43" t="s">
        <v>124</v>
      </c>
      <c r="D83" s="43"/>
      <c r="E83" s="42"/>
    </row>
    <row r="84" spans="1:5" hidden="1" x14ac:dyDescent="0.15">
      <c r="A84" s="69"/>
      <c r="B84" s="43">
        <v>20170330</v>
      </c>
      <c r="C84" s="43" t="s">
        <v>126</v>
      </c>
      <c r="D84" s="43"/>
      <c r="E84" s="42"/>
    </row>
    <row r="85" spans="1:5" hidden="1" x14ac:dyDescent="0.15">
      <c r="A85" s="69"/>
      <c r="B85" s="43">
        <v>20170407</v>
      </c>
      <c r="C85" s="43" t="s">
        <v>127</v>
      </c>
      <c r="D85" s="43"/>
      <c r="E85" s="42"/>
    </row>
    <row r="86" spans="1:5" hidden="1" x14ac:dyDescent="0.15">
      <c r="A86" s="69"/>
      <c r="B86" s="43">
        <v>20180831</v>
      </c>
      <c r="C86" s="43" t="s">
        <v>128</v>
      </c>
      <c r="D86" s="43"/>
      <c r="E86" s="42"/>
    </row>
    <row r="87" spans="1:5" hidden="1" x14ac:dyDescent="0.15">
      <c r="A87" s="69"/>
      <c r="B87" s="43">
        <v>20180906</v>
      </c>
      <c r="C87" s="49" t="s">
        <v>131</v>
      </c>
      <c r="D87" s="43"/>
      <c r="E87" s="42"/>
    </row>
    <row r="88" spans="1:5" hidden="1" x14ac:dyDescent="0.15">
      <c r="A88" s="69"/>
      <c r="B88" s="43">
        <v>20200515</v>
      </c>
      <c r="C88" s="49" t="s">
        <v>134</v>
      </c>
      <c r="D88" s="43"/>
      <c r="E88" s="42"/>
    </row>
    <row r="89" spans="1:5" hidden="1" x14ac:dyDescent="0.15">
      <c r="A89" s="69"/>
      <c r="B89" s="43">
        <v>20210201</v>
      </c>
      <c r="C89" s="43" t="s">
        <v>135</v>
      </c>
      <c r="D89" s="43"/>
      <c r="E89" s="42"/>
    </row>
    <row r="90" spans="1:5" hidden="1" x14ac:dyDescent="0.15">
      <c r="A90" s="69"/>
      <c r="B90" s="43"/>
      <c r="C90" s="43"/>
      <c r="D90" s="43"/>
      <c r="E90" s="42"/>
    </row>
    <row r="91" spans="1:5" x14ac:dyDescent="0.15">
      <c r="A91" s="69"/>
      <c r="B91" s="43"/>
      <c r="C91" s="43"/>
      <c r="D91" s="43"/>
      <c r="E91" s="42"/>
    </row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F59" sqref="F59"/>
    </sheetView>
  </sheetViews>
  <sheetFormatPr baseColWidth="10" defaultColWidth="9.1640625" defaultRowHeight="13" x14ac:dyDescent="0.15"/>
  <cols>
    <col min="1" max="1" width="9.5" bestFit="1" customWidth="1"/>
    <col min="2" max="2" width="21.83203125" customWidth="1"/>
    <col min="3" max="3" width="16.1640625" customWidth="1"/>
    <col min="4" max="4" width="18.83203125" customWidth="1"/>
    <col min="5" max="5" width="7.1640625" customWidth="1"/>
    <col min="6" max="6" width="15.1640625" customWidth="1"/>
    <col min="7" max="7" width="21.83203125" customWidth="1"/>
    <col min="8" max="8" width="23.33203125" customWidth="1"/>
  </cols>
  <sheetData>
    <row r="1" spans="1:8" s="5" customFormat="1" ht="28" x14ac:dyDescent="0.15">
      <c r="A1" s="56" t="s">
        <v>19</v>
      </c>
      <c r="B1" s="57" t="s">
        <v>16</v>
      </c>
      <c r="C1" s="57" t="s">
        <v>17</v>
      </c>
      <c r="D1" s="57" t="s">
        <v>18</v>
      </c>
      <c r="E1" s="57" t="s">
        <v>70</v>
      </c>
      <c r="F1" s="57" t="s">
        <v>77</v>
      </c>
      <c r="G1" s="57" t="s">
        <v>84</v>
      </c>
      <c r="H1" s="57" t="s">
        <v>129</v>
      </c>
    </row>
    <row r="2" spans="1:8" ht="28" x14ac:dyDescent="0.15">
      <c r="A2" t="s">
        <v>183</v>
      </c>
      <c r="B2" t="s">
        <v>187</v>
      </c>
      <c r="C2" s="16" t="s">
        <v>184</v>
      </c>
      <c r="D2" t="s">
        <v>185</v>
      </c>
      <c r="E2" t="s">
        <v>186</v>
      </c>
      <c r="F2" t="s">
        <v>189</v>
      </c>
      <c r="G2" s="16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L18" sqref="L18"/>
    </sheetView>
  </sheetViews>
  <sheetFormatPr baseColWidth="10" defaultColWidth="9.1640625" defaultRowHeight="13" x14ac:dyDescent="0.15"/>
  <cols>
    <col min="1" max="1" width="11" customWidth="1"/>
    <col min="2" max="3" width="7.5" bestFit="1" customWidth="1"/>
    <col min="4" max="4" width="10.33203125" bestFit="1" customWidth="1"/>
    <col min="5" max="5" width="8.1640625" bestFit="1" customWidth="1"/>
    <col min="6" max="6" width="5.5" bestFit="1" customWidth="1"/>
    <col min="7" max="7" width="8.1640625" bestFit="1" customWidth="1"/>
    <col min="8" max="8" width="7" bestFit="1" customWidth="1"/>
    <col min="9" max="9" width="11.83203125" style="3" customWidth="1"/>
    <col min="10" max="10" width="11.5" style="3" customWidth="1"/>
  </cols>
  <sheetData>
    <row r="1" spans="1:10" ht="26.5" customHeight="1" x14ac:dyDescent="0.15">
      <c r="A1" s="57" t="s">
        <v>20</v>
      </c>
      <c r="B1" s="57" t="s">
        <v>21</v>
      </c>
      <c r="C1" s="57" t="s">
        <v>22</v>
      </c>
      <c r="D1" s="57" t="s">
        <v>23</v>
      </c>
      <c r="E1" s="57" t="s">
        <v>24</v>
      </c>
      <c r="F1" s="57" t="s">
        <v>25</v>
      </c>
      <c r="G1" s="57" t="s">
        <v>26</v>
      </c>
      <c r="H1" s="57" t="s">
        <v>27</v>
      </c>
      <c r="I1" s="57" t="s">
        <v>28</v>
      </c>
      <c r="J1" s="57" t="s">
        <v>63</v>
      </c>
    </row>
    <row r="2" spans="1:10" x14ac:dyDescent="0.1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103" t="s">
        <v>211</v>
      </c>
      <c r="J2" s="103" t="s">
        <v>212</v>
      </c>
    </row>
    <row r="3" spans="1:10" x14ac:dyDescent="0.15">
      <c r="I3" s="103"/>
      <c r="J3" s="103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baseColWidth="10" defaultColWidth="9.1640625" defaultRowHeight="13" x14ac:dyDescent="0.15"/>
  <cols>
    <col min="1" max="1" width="9.1640625" bestFit="1" customWidth="1"/>
    <col min="2" max="2" width="9" bestFit="1" customWidth="1"/>
    <col min="3" max="3" width="13.6640625" bestFit="1" customWidth="1"/>
  </cols>
  <sheetData>
    <row r="1" spans="1:3" ht="26.5" customHeight="1" x14ac:dyDescent="0.15">
      <c r="A1" s="57" t="s">
        <v>20</v>
      </c>
      <c r="B1" s="57" t="s">
        <v>29</v>
      </c>
      <c r="C1" s="57" t="s">
        <v>64</v>
      </c>
    </row>
    <row r="2" spans="1:3" x14ac:dyDescent="0.15">
      <c r="A2">
        <v>1</v>
      </c>
      <c r="B2" s="103" t="s">
        <v>213</v>
      </c>
      <c r="C2">
        <v>2</v>
      </c>
    </row>
    <row r="3" spans="1:3" x14ac:dyDescent="0.15">
      <c r="B3" s="103"/>
    </row>
    <row r="4" spans="1:3" x14ac:dyDescent="0.15">
      <c r="B4" s="3"/>
    </row>
    <row r="5" spans="1:3" x14ac:dyDescent="0.15">
      <c r="B5" s="3"/>
    </row>
    <row r="6" spans="1:3" x14ac:dyDescent="0.15">
      <c r="B6" s="3"/>
    </row>
    <row r="7" spans="1:3" x14ac:dyDescent="0.15">
      <c r="B7" s="3"/>
    </row>
    <row r="8" spans="1:3" x14ac:dyDescent="0.15">
      <c r="B8" s="3"/>
    </row>
    <row r="9" spans="1:3" x14ac:dyDescent="0.15">
      <c r="B9" s="3"/>
    </row>
    <row r="10" spans="1:3" x14ac:dyDescent="0.15">
      <c r="B10" s="3"/>
    </row>
    <row r="11" spans="1:3" x14ac:dyDescent="0.1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D4" sqref="D4"/>
    </sheetView>
  </sheetViews>
  <sheetFormatPr baseColWidth="10" defaultColWidth="8.83203125" defaultRowHeight="13" x14ac:dyDescent="0.15"/>
  <cols>
    <col min="1" max="1" width="9.33203125" style="1" customWidth="1"/>
    <col min="2" max="2" width="9.5" style="1" bestFit="1" customWidth="1"/>
    <col min="3" max="3" width="11" style="1" customWidth="1"/>
    <col min="4" max="4" width="10.6640625" style="1" customWidth="1"/>
    <col min="5" max="5" width="6.1640625" style="9" customWidth="1"/>
    <col min="6" max="6" width="5.83203125" style="1" customWidth="1"/>
    <col min="7" max="7" width="36.83203125" style="1" customWidth="1"/>
    <col min="8" max="8" width="10.1640625" style="1" bestFit="1" customWidth="1"/>
    <col min="9" max="9" width="14.33203125" style="1" customWidth="1"/>
    <col min="10" max="10" width="16.1640625" style="1" customWidth="1"/>
    <col min="11" max="12" width="10.5" style="1" customWidth="1"/>
    <col min="13" max="16384" width="8.83203125" style="1"/>
  </cols>
  <sheetData>
    <row r="1" spans="1:12" s="9" customFormat="1" ht="28" x14ac:dyDescent="0.15">
      <c r="A1" s="57" t="s">
        <v>35</v>
      </c>
      <c r="B1" s="57" t="s">
        <v>19</v>
      </c>
      <c r="C1" s="57" t="s">
        <v>39</v>
      </c>
      <c r="D1" s="57" t="s">
        <v>40</v>
      </c>
      <c r="E1" s="57" t="s">
        <v>41</v>
      </c>
      <c r="F1" s="57" t="s">
        <v>42</v>
      </c>
      <c r="G1" s="57" t="s">
        <v>43</v>
      </c>
      <c r="H1" s="57" t="s">
        <v>44</v>
      </c>
      <c r="I1" s="57" t="s">
        <v>67</v>
      </c>
      <c r="J1" s="57" t="s">
        <v>130</v>
      </c>
      <c r="K1" s="57" t="s">
        <v>132</v>
      </c>
      <c r="L1" s="57" t="s">
        <v>133</v>
      </c>
    </row>
    <row r="2" spans="1:12" x14ac:dyDescent="0.15">
      <c r="A2" s="1" t="s">
        <v>215</v>
      </c>
      <c r="B2" s="1" t="s">
        <v>183</v>
      </c>
      <c r="C2" s="6" t="s">
        <v>218</v>
      </c>
      <c r="D2" s="1" t="s">
        <v>219</v>
      </c>
      <c r="F2" s="1">
        <v>3</v>
      </c>
      <c r="H2" s="6" t="s">
        <v>191</v>
      </c>
      <c r="I2" s="6" t="s">
        <v>190</v>
      </c>
      <c r="J2" s="1">
        <v>1</v>
      </c>
      <c r="K2" s="1">
        <v>1</v>
      </c>
      <c r="L2" s="1">
        <v>1</v>
      </c>
    </row>
    <row r="3" spans="1:12" x14ac:dyDescent="0.15">
      <c r="A3" s="1" t="s">
        <v>216</v>
      </c>
      <c r="B3" s="1" t="s">
        <v>183</v>
      </c>
      <c r="C3" s="6" t="s">
        <v>218</v>
      </c>
      <c r="D3" s="1" t="s">
        <v>220</v>
      </c>
      <c r="F3" s="1">
        <v>3</v>
      </c>
      <c r="H3" s="6" t="s">
        <v>191</v>
      </c>
      <c r="I3" s="6" t="s">
        <v>190</v>
      </c>
      <c r="J3" s="1">
        <v>2</v>
      </c>
      <c r="K3" s="1">
        <v>1</v>
      </c>
      <c r="L3" s="1">
        <v>1</v>
      </c>
    </row>
    <row r="4" spans="1:12" x14ac:dyDescent="0.15">
      <c r="A4" s="1" t="s">
        <v>217</v>
      </c>
      <c r="B4" s="6" t="s">
        <v>183</v>
      </c>
      <c r="C4" s="6" t="s">
        <v>226</v>
      </c>
      <c r="D4" s="6" t="s">
        <v>214</v>
      </c>
      <c r="F4" s="1">
        <v>3</v>
      </c>
      <c r="H4" s="6" t="s">
        <v>191</v>
      </c>
      <c r="I4" s="6" t="s">
        <v>190</v>
      </c>
      <c r="J4" s="1">
        <v>3</v>
      </c>
      <c r="K4" s="1">
        <v>1</v>
      </c>
      <c r="L4" s="1">
        <v>1</v>
      </c>
    </row>
    <row r="5" spans="1:12" x14ac:dyDescent="0.15">
      <c r="C5" s="6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zoomScale="110" zoomScaleNormal="110" workbookViewId="0">
      <pane ySplit="1" topLeftCell="A2" activePane="bottomLeft" state="frozen"/>
      <selection pane="bottomLeft" activeCell="G46" sqref="G46"/>
    </sheetView>
  </sheetViews>
  <sheetFormatPr baseColWidth="10" defaultColWidth="9.1640625" defaultRowHeight="13" x14ac:dyDescent="0.15"/>
  <cols>
    <col min="1" max="1" width="9.1640625" style="4" bestFit="1" customWidth="1"/>
    <col min="2" max="2" width="11.6640625" style="4" customWidth="1"/>
    <col min="3" max="3" width="39.5" style="4" customWidth="1"/>
    <col min="4" max="4" width="13.1640625" style="4" customWidth="1"/>
    <col min="5" max="5" width="9.5" style="8" bestFit="1" customWidth="1"/>
    <col min="6" max="6" width="13.33203125" style="8" customWidth="1"/>
    <col min="7" max="7" width="9.5" style="4" bestFit="1" customWidth="1"/>
    <col min="8" max="8" width="9.6640625" style="4" bestFit="1" customWidth="1"/>
    <col min="9" max="10" width="7.33203125" style="4" customWidth="1"/>
    <col min="11" max="11" width="8.83203125" style="4" customWidth="1"/>
    <col min="12" max="12" width="10.5" style="4" customWidth="1"/>
    <col min="13" max="16384" width="9.1640625" style="4"/>
  </cols>
  <sheetData>
    <row r="1" spans="1:12" s="10" customFormat="1" ht="28" x14ac:dyDescent="0.15">
      <c r="A1" s="57" t="s">
        <v>49</v>
      </c>
      <c r="B1" s="57" t="s">
        <v>15</v>
      </c>
      <c r="C1" s="57" t="s">
        <v>50</v>
      </c>
      <c r="D1" s="57" t="s">
        <v>51</v>
      </c>
      <c r="E1" s="57" t="s">
        <v>52</v>
      </c>
      <c r="F1" s="57" t="s">
        <v>53</v>
      </c>
      <c r="G1" s="57" t="s">
        <v>54</v>
      </c>
      <c r="H1" s="57" t="s">
        <v>68</v>
      </c>
      <c r="I1" s="57" t="s">
        <v>75</v>
      </c>
      <c r="J1" s="57" t="s">
        <v>76</v>
      </c>
      <c r="K1" s="57" t="s">
        <v>115</v>
      </c>
      <c r="L1" s="57" t="s">
        <v>105</v>
      </c>
    </row>
    <row r="2" spans="1:12" x14ac:dyDescent="0.15">
      <c r="A2">
        <v>1341</v>
      </c>
      <c r="B2"/>
      <c r="C2" t="s">
        <v>192</v>
      </c>
      <c r="D2"/>
      <c r="E2">
        <v>36.977637999999999</v>
      </c>
      <c r="F2">
        <v>-122.05368</v>
      </c>
    </row>
    <row r="3" spans="1:12" x14ac:dyDescent="0.15">
      <c r="A3">
        <v>1342</v>
      </c>
      <c r="B3"/>
      <c r="C3" t="s">
        <v>193</v>
      </c>
      <c r="D3"/>
      <c r="E3">
        <v>36.981369000000001</v>
      </c>
      <c r="F3">
        <v>-122.05192599999999</v>
      </c>
    </row>
    <row r="4" spans="1:12" x14ac:dyDescent="0.15">
      <c r="A4">
        <v>1385</v>
      </c>
      <c r="B4"/>
      <c r="C4" t="s">
        <v>194</v>
      </c>
      <c r="D4"/>
      <c r="E4">
        <v>36.982776999999999</v>
      </c>
      <c r="F4">
        <v>-122.06270600000001</v>
      </c>
      <c r="L4" s="4">
        <v>2</v>
      </c>
    </row>
    <row r="5" spans="1:12" x14ac:dyDescent="0.15">
      <c r="A5">
        <v>1501</v>
      </c>
      <c r="B5"/>
      <c r="C5" t="s">
        <v>195</v>
      </c>
      <c r="D5"/>
      <c r="E5">
        <v>36.991314000000003</v>
      </c>
      <c r="F5">
        <v>-122.054665</v>
      </c>
    </row>
    <row r="6" spans="1:12" x14ac:dyDescent="0.15">
      <c r="A6">
        <v>1505</v>
      </c>
      <c r="B6"/>
      <c r="C6" t="s">
        <v>196</v>
      </c>
      <c r="D6"/>
      <c r="E6">
        <v>36.989944000000001</v>
      </c>
      <c r="F6">
        <v>-122.0672</v>
      </c>
    </row>
    <row r="7" spans="1:12" x14ac:dyDescent="0.15">
      <c r="A7">
        <v>1509</v>
      </c>
      <c r="B7"/>
      <c r="C7" t="s">
        <v>197</v>
      </c>
      <c r="D7"/>
      <c r="E7">
        <v>36.999287000000002</v>
      </c>
      <c r="F7">
        <v>-122.06455200000001</v>
      </c>
    </row>
    <row r="8" spans="1:12" x14ac:dyDescent="0.15">
      <c r="A8">
        <v>1615</v>
      </c>
      <c r="B8"/>
      <c r="C8" t="s">
        <v>198</v>
      </c>
      <c r="D8"/>
      <c r="E8">
        <v>36.999972999999997</v>
      </c>
      <c r="F8">
        <v>-122.062332</v>
      </c>
    </row>
    <row r="9" spans="1:12" x14ac:dyDescent="0.15">
      <c r="A9">
        <v>1616</v>
      </c>
      <c r="B9"/>
      <c r="C9" t="s">
        <v>199</v>
      </c>
      <c r="D9"/>
      <c r="E9">
        <v>36.999924</v>
      </c>
      <c r="F9">
        <v>-122.058319</v>
      </c>
    </row>
    <row r="10" spans="1:12" x14ac:dyDescent="0.15">
      <c r="A10">
        <v>1617</v>
      </c>
      <c r="B10"/>
      <c r="C10" t="s">
        <v>200</v>
      </c>
      <c r="D10"/>
      <c r="E10">
        <v>36.999008000000003</v>
      </c>
      <c r="F10">
        <v>-122.055176</v>
      </c>
    </row>
    <row r="11" spans="1:12" x14ac:dyDescent="0.15">
      <c r="A11">
        <v>2101</v>
      </c>
      <c r="B11"/>
      <c r="C11" t="s">
        <v>201</v>
      </c>
      <c r="D11"/>
      <c r="E11">
        <v>36.994262999999997</v>
      </c>
      <c r="F11">
        <v>-122.055511</v>
      </c>
    </row>
    <row r="12" spans="1:12" x14ac:dyDescent="0.15">
      <c r="A12">
        <v>2102</v>
      </c>
      <c r="B12"/>
      <c r="C12" t="s">
        <v>202</v>
      </c>
      <c r="D12"/>
      <c r="E12">
        <v>36.997498</v>
      </c>
      <c r="F12">
        <v>-122.05506099999999</v>
      </c>
    </row>
    <row r="13" spans="1:12" x14ac:dyDescent="0.15">
      <c r="A13">
        <v>2328</v>
      </c>
      <c r="B13"/>
      <c r="C13" t="s">
        <v>194</v>
      </c>
      <c r="D13"/>
      <c r="E13">
        <v>36.983685000000001</v>
      </c>
      <c r="F13">
        <v>-122.06493399999999</v>
      </c>
      <c r="L13" s="4">
        <v>2</v>
      </c>
    </row>
    <row r="14" spans="1:12" x14ac:dyDescent="0.15">
      <c r="A14">
        <v>2375</v>
      </c>
      <c r="B14"/>
      <c r="C14" t="s">
        <v>203</v>
      </c>
      <c r="D14"/>
      <c r="E14">
        <v>36.977322000000001</v>
      </c>
      <c r="F14">
        <v>-122.054306</v>
      </c>
    </row>
    <row r="15" spans="1:12" x14ac:dyDescent="0.15">
      <c r="A15">
        <v>2448</v>
      </c>
      <c r="B15"/>
      <c r="C15" t="s">
        <v>204</v>
      </c>
      <c r="D15"/>
      <c r="E15">
        <v>36.992995999999998</v>
      </c>
      <c r="F15">
        <v>-122.065201</v>
      </c>
    </row>
    <row r="16" spans="1:12" x14ac:dyDescent="0.15">
      <c r="A16">
        <v>2516</v>
      </c>
      <c r="B16"/>
      <c r="C16" t="s">
        <v>205</v>
      </c>
      <c r="D16"/>
      <c r="E16">
        <v>36.991790999999999</v>
      </c>
      <c r="F16">
        <v>-122.06680299999999</v>
      </c>
    </row>
    <row r="17" spans="1:6" x14ac:dyDescent="0.15">
      <c r="A17">
        <v>2669</v>
      </c>
      <c r="B17"/>
      <c r="C17" t="s">
        <v>206</v>
      </c>
      <c r="D17"/>
      <c r="E17">
        <v>36.985916000000003</v>
      </c>
      <c r="F17">
        <v>-122.053543</v>
      </c>
    </row>
    <row r="18" spans="1:6" x14ac:dyDescent="0.15">
      <c r="A18">
        <v>2670</v>
      </c>
      <c r="B18"/>
      <c r="C18" t="s">
        <v>196</v>
      </c>
      <c r="D18"/>
      <c r="E18">
        <v>36.990600999999998</v>
      </c>
      <c r="F18">
        <v>-122.066093</v>
      </c>
    </row>
    <row r="19" spans="1:6" x14ac:dyDescent="0.15">
      <c r="A19">
        <v>2671</v>
      </c>
      <c r="B19"/>
      <c r="C19" t="s">
        <v>204</v>
      </c>
      <c r="D19"/>
      <c r="E19">
        <v>36.992801999999998</v>
      </c>
      <c r="F19">
        <v>-122.06485000000001</v>
      </c>
    </row>
    <row r="20" spans="1:6" x14ac:dyDescent="0.15">
      <c r="A20">
        <v>2672</v>
      </c>
      <c r="B20"/>
      <c r="C20" t="s">
        <v>207</v>
      </c>
      <c r="D20"/>
      <c r="E20">
        <v>36.996707999999998</v>
      </c>
      <c r="F20">
        <v>-122.06358299999999</v>
      </c>
    </row>
    <row r="21" spans="1:6" x14ac:dyDescent="0.15">
      <c r="A21">
        <v>2673</v>
      </c>
      <c r="B21"/>
      <c r="C21" t="s">
        <v>197</v>
      </c>
      <c r="D21"/>
      <c r="E21">
        <v>36.999206999999998</v>
      </c>
      <c r="F21">
        <v>-122.064339</v>
      </c>
    </row>
    <row r="22" spans="1:6" x14ac:dyDescent="0.15">
      <c r="A22">
        <v>2674</v>
      </c>
      <c r="B22"/>
      <c r="C22" t="s">
        <v>198</v>
      </c>
      <c r="D22"/>
      <c r="E22">
        <v>36.999854999999997</v>
      </c>
      <c r="F22">
        <v>-122.062172</v>
      </c>
    </row>
    <row r="23" spans="1:6" x14ac:dyDescent="0.15">
      <c r="A23">
        <v>2675</v>
      </c>
      <c r="B23"/>
      <c r="C23" t="s">
        <v>199</v>
      </c>
      <c r="D23"/>
      <c r="E23">
        <v>36.999755999999998</v>
      </c>
      <c r="F23">
        <v>-122.058311</v>
      </c>
    </row>
    <row r="24" spans="1:6" x14ac:dyDescent="0.15">
      <c r="A24">
        <v>2676</v>
      </c>
      <c r="B24"/>
      <c r="C24" t="s">
        <v>202</v>
      </c>
      <c r="D24"/>
      <c r="E24">
        <v>36.996662000000001</v>
      </c>
      <c r="F24">
        <v>-122.055412</v>
      </c>
    </row>
    <row r="25" spans="1:6" x14ac:dyDescent="0.15">
      <c r="A25">
        <v>2677</v>
      </c>
      <c r="B25"/>
      <c r="C25" t="s">
        <v>195</v>
      </c>
      <c r="D25"/>
      <c r="E25">
        <v>36.991275999999999</v>
      </c>
      <c r="F25">
        <v>-122.054886</v>
      </c>
    </row>
    <row r="26" spans="1:6" x14ac:dyDescent="0.15">
      <c r="A26">
        <v>2678</v>
      </c>
      <c r="B26"/>
      <c r="C26" t="s">
        <v>206</v>
      </c>
      <c r="D26"/>
      <c r="E26">
        <v>36.985537999999998</v>
      </c>
      <c r="F26">
        <v>-122.053551</v>
      </c>
    </row>
    <row r="27" spans="1:6" x14ac:dyDescent="0.15">
      <c r="A27">
        <v>2679</v>
      </c>
      <c r="B27"/>
      <c r="C27" t="s">
        <v>193</v>
      </c>
      <c r="D27"/>
      <c r="E27">
        <v>36.981560000000002</v>
      </c>
      <c r="F27">
        <v>-122.052109</v>
      </c>
    </row>
    <row r="28" spans="1:6" x14ac:dyDescent="0.15">
      <c r="A28">
        <v>1510</v>
      </c>
      <c r="B28"/>
      <c r="C28" t="s">
        <v>208</v>
      </c>
      <c r="D28"/>
      <c r="E28">
        <v>36.978645</v>
      </c>
      <c r="F28">
        <v>-122.057823</v>
      </c>
    </row>
    <row r="29" spans="1:6" x14ac:dyDescent="0.15">
      <c r="A29">
        <v>2374</v>
      </c>
      <c r="B29"/>
      <c r="C29" t="s">
        <v>209</v>
      </c>
      <c r="D29"/>
      <c r="E29">
        <v>36.978813000000002</v>
      </c>
      <c r="F29">
        <v>-122.057732</v>
      </c>
    </row>
    <row r="30" spans="1:6" x14ac:dyDescent="0.15">
      <c r="A30">
        <v>2739</v>
      </c>
      <c r="B30"/>
      <c r="C30" t="s">
        <v>210</v>
      </c>
      <c r="D30"/>
      <c r="E30">
        <v>36.979889</v>
      </c>
      <c r="F30">
        <v>-122.059326</v>
      </c>
    </row>
    <row r="31" spans="1:6" x14ac:dyDescent="0.15">
      <c r="A31" s="4">
        <v>1</v>
      </c>
      <c r="C31" s="4" t="s">
        <v>224</v>
      </c>
    </row>
    <row r="32" spans="1:6" x14ac:dyDescent="0.15">
      <c r="A32" s="4">
        <v>2</v>
      </c>
      <c r="C32" s="4" t="s">
        <v>225</v>
      </c>
    </row>
  </sheetData>
  <sortState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"/>
  <sheetViews>
    <sheetView workbookViewId="0">
      <pane ySplit="1" topLeftCell="A2" activePane="bottomLeft" state="frozen"/>
      <selection pane="bottomLeft" activeCell="N44" sqref="N44"/>
    </sheetView>
  </sheetViews>
  <sheetFormatPr baseColWidth="10" defaultColWidth="8.1640625" defaultRowHeight="13" x14ac:dyDescent="0.15"/>
  <cols>
    <col min="3" max="3" width="12.1640625" customWidth="1"/>
    <col min="5" max="5" width="8.1640625" style="14"/>
    <col min="7" max="8" width="8.1640625" style="14"/>
    <col min="10" max="10" width="8.1640625" style="15"/>
  </cols>
  <sheetData>
    <row r="1" spans="1:16" s="16" customFormat="1" ht="26.5" customHeight="1" x14ac:dyDescent="0.15">
      <c r="A1" t="s">
        <v>38</v>
      </c>
      <c r="B1" t="s">
        <v>55</v>
      </c>
      <c r="C1" t="s">
        <v>56</v>
      </c>
      <c r="D1" t="s">
        <v>49</v>
      </c>
      <c r="E1" s="14" t="s">
        <v>57</v>
      </c>
      <c r="F1" t="s">
        <v>58</v>
      </c>
      <c r="G1" s="14" t="s">
        <v>59</v>
      </c>
      <c r="H1" s="14" t="s">
        <v>69</v>
      </c>
      <c r="I1" t="s">
        <v>132</v>
      </c>
      <c r="J1" s="15" t="s">
        <v>133</v>
      </c>
      <c r="K1" t="s">
        <v>48</v>
      </c>
      <c r="L1" t="s">
        <v>113</v>
      </c>
      <c r="M1" s="16" t="s">
        <v>176</v>
      </c>
      <c r="N1" s="16" t="s">
        <v>177</v>
      </c>
      <c r="O1" s="16" t="s">
        <v>178</v>
      </c>
      <c r="P1" s="16" t="s">
        <v>179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7"/>
  <sheetViews>
    <sheetView tabSelected="1" zoomScale="120" zoomScaleNormal="120" workbookViewId="0">
      <pane ySplit="1" topLeftCell="A39" activePane="bottomLeft" state="frozen"/>
      <selection pane="bottomLeft" activeCell="G74" sqref="G74"/>
    </sheetView>
  </sheetViews>
  <sheetFormatPr baseColWidth="10" defaultColWidth="29.6640625" defaultRowHeight="13" x14ac:dyDescent="0.15"/>
  <cols>
    <col min="1" max="3" width="19.33203125" customWidth="1"/>
    <col min="4" max="4" width="32.1640625" customWidth="1"/>
    <col min="5" max="9" width="19.33203125" customWidth="1"/>
    <col min="10" max="10" width="29.6640625" style="3"/>
  </cols>
  <sheetData>
    <row r="1" spans="1:9" ht="26.5" customHeight="1" x14ac:dyDescent="0.1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15">
      <c r="A2" s="1" t="s">
        <v>217</v>
      </c>
      <c r="B2">
        <v>1</v>
      </c>
      <c r="C2">
        <v>10401</v>
      </c>
      <c r="D2" s="6" t="s">
        <v>214</v>
      </c>
      <c r="F2">
        <v>104</v>
      </c>
      <c r="H2">
        <v>2</v>
      </c>
      <c r="I2">
        <v>1</v>
      </c>
    </row>
    <row r="3" spans="1:9" x14ac:dyDescent="0.15">
      <c r="A3" s="1" t="s">
        <v>217</v>
      </c>
      <c r="B3">
        <v>1</v>
      </c>
      <c r="C3">
        <v>10402</v>
      </c>
      <c r="D3" s="6" t="s">
        <v>214</v>
      </c>
      <c r="F3">
        <v>104</v>
      </c>
      <c r="H3">
        <v>2</v>
      </c>
      <c r="I3">
        <v>1</v>
      </c>
    </row>
    <row r="4" spans="1:9" x14ac:dyDescent="0.15">
      <c r="A4" s="1" t="s">
        <v>217</v>
      </c>
      <c r="B4">
        <v>1</v>
      </c>
      <c r="C4">
        <v>10403</v>
      </c>
      <c r="D4" s="6" t="s">
        <v>214</v>
      </c>
      <c r="F4">
        <v>104</v>
      </c>
      <c r="H4">
        <v>2</v>
      </c>
      <c r="I4">
        <v>1</v>
      </c>
    </row>
    <row r="5" spans="1:9" x14ac:dyDescent="0.15">
      <c r="A5" s="1" t="s">
        <v>215</v>
      </c>
      <c r="B5">
        <v>1</v>
      </c>
      <c r="C5">
        <v>10404</v>
      </c>
      <c r="D5" t="s">
        <v>219</v>
      </c>
      <c r="E5">
        <v>0</v>
      </c>
      <c r="F5">
        <v>104</v>
      </c>
      <c r="I5">
        <v>1</v>
      </c>
    </row>
    <row r="6" spans="1:9" x14ac:dyDescent="0.15">
      <c r="A6" s="1" t="s">
        <v>215</v>
      </c>
      <c r="B6">
        <v>1</v>
      </c>
      <c r="C6">
        <v>10405</v>
      </c>
      <c r="D6" t="s">
        <v>219</v>
      </c>
      <c r="E6">
        <v>0</v>
      </c>
      <c r="F6">
        <v>104</v>
      </c>
      <c r="I6">
        <v>1</v>
      </c>
    </row>
    <row r="7" spans="1:9" x14ac:dyDescent="0.15">
      <c r="A7" s="1" t="s">
        <v>215</v>
      </c>
      <c r="B7">
        <v>1</v>
      </c>
      <c r="C7">
        <v>10406</v>
      </c>
      <c r="D7" t="s">
        <v>219</v>
      </c>
      <c r="E7">
        <v>0</v>
      </c>
      <c r="F7">
        <v>104</v>
      </c>
      <c r="I7">
        <v>1</v>
      </c>
    </row>
    <row r="8" spans="1:9" x14ac:dyDescent="0.15">
      <c r="A8" s="1" t="s">
        <v>216</v>
      </c>
      <c r="B8">
        <v>1</v>
      </c>
      <c r="C8">
        <v>10407</v>
      </c>
      <c r="D8" t="s">
        <v>221</v>
      </c>
      <c r="E8">
        <v>1</v>
      </c>
      <c r="F8">
        <v>104</v>
      </c>
      <c r="I8">
        <v>1</v>
      </c>
    </row>
    <row r="9" spans="1:9" x14ac:dyDescent="0.15">
      <c r="A9" s="1" t="s">
        <v>215</v>
      </c>
      <c r="B9">
        <v>1</v>
      </c>
      <c r="C9">
        <v>10408</v>
      </c>
      <c r="D9" t="s">
        <v>219</v>
      </c>
      <c r="E9">
        <v>0</v>
      </c>
      <c r="F9">
        <v>104</v>
      </c>
      <c r="I9">
        <v>1</v>
      </c>
    </row>
    <row r="10" spans="1:9" x14ac:dyDescent="0.15">
      <c r="A10" s="1" t="s">
        <v>215</v>
      </c>
      <c r="B10">
        <v>1</v>
      </c>
      <c r="C10">
        <v>10101</v>
      </c>
      <c r="D10" t="s">
        <v>219</v>
      </c>
      <c r="E10">
        <v>0</v>
      </c>
      <c r="F10">
        <v>101</v>
      </c>
      <c r="I10">
        <v>1</v>
      </c>
    </row>
    <row r="11" spans="1:9" x14ac:dyDescent="0.15">
      <c r="A11" s="1" t="s">
        <v>215</v>
      </c>
      <c r="B11">
        <v>1</v>
      </c>
      <c r="C11">
        <v>10102</v>
      </c>
      <c r="D11" t="s">
        <v>219</v>
      </c>
      <c r="E11">
        <v>0</v>
      </c>
      <c r="F11">
        <v>101</v>
      </c>
      <c r="I11">
        <v>1</v>
      </c>
    </row>
    <row r="12" spans="1:9" x14ac:dyDescent="0.15">
      <c r="A12" s="1" t="s">
        <v>215</v>
      </c>
      <c r="B12">
        <v>1</v>
      </c>
      <c r="C12">
        <v>10103</v>
      </c>
      <c r="D12" t="s">
        <v>222</v>
      </c>
      <c r="E12">
        <v>0</v>
      </c>
      <c r="F12">
        <v>101</v>
      </c>
      <c r="I12">
        <v>1</v>
      </c>
    </row>
    <row r="13" spans="1:9" x14ac:dyDescent="0.15">
      <c r="A13" s="1" t="s">
        <v>215</v>
      </c>
      <c r="B13">
        <v>1</v>
      </c>
      <c r="C13">
        <v>10104</v>
      </c>
      <c r="D13" t="s">
        <v>219</v>
      </c>
      <c r="E13">
        <v>0</v>
      </c>
      <c r="F13">
        <v>101</v>
      </c>
      <c r="I13">
        <v>1</v>
      </c>
    </row>
    <row r="14" spans="1:9" x14ac:dyDescent="0.15">
      <c r="A14" s="1" t="s">
        <v>215</v>
      </c>
      <c r="B14">
        <v>1</v>
      </c>
      <c r="C14">
        <v>10105</v>
      </c>
      <c r="D14" t="s">
        <v>222</v>
      </c>
      <c r="E14">
        <v>0</v>
      </c>
      <c r="F14">
        <v>101</v>
      </c>
      <c r="I14">
        <v>1</v>
      </c>
    </row>
    <row r="15" spans="1:9" x14ac:dyDescent="0.15">
      <c r="A15" s="1" t="s">
        <v>215</v>
      </c>
      <c r="B15">
        <v>1</v>
      </c>
      <c r="C15">
        <v>10106</v>
      </c>
      <c r="D15" t="s">
        <v>219</v>
      </c>
      <c r="E15">
        <v>0</v>
      </c>
      <c r="F15">
        <v>101</v>
      </c>
      <c r="I15">
        <v>1</v>
      </c>
    </row>
    <row r="16" spans="1:9" x14ac:dyDescent="0.15">
      <c r="A16" s="1" t="s">
        <v>215</v>
      </c>
      <c r="B16">
        <v>1</v>
      </c>
      <c r="C16">
        <v>10107</v>
      </c>
      <c r="D16" t="s">
        <v>219</v>
      </c>
      <c r="E16">
        <v>0</v>
      </c>
      <c r="F16">
        <v>101</v>
      </c>
      <c r="I16">
        <v>1</v>
      </c>
    </row>
    <row r="17" spans="1:9" x14ac:dyDescent="0.15">
      <c r="A17" s="1" t="s">
        <v>215</v>
      </c>
      <c r="B17">
        <v>1</v>
      </c>
      <c r="C17">
        <v>10108</v>
      </c>
      <c r="D17" t="s">
        <v>222</v>
      </c>
      <c r="E17">
        <v>0</v>
      </c>
      <c r="F17">
        <v>101</v>
      </c>
      <c r="I17">
        <v>1</v>
      </c>
    </row>
    <row r="18" spans="1:9" x14ac:dyDescent="0.15">
      <c r="A18" s="1" t="s">
        <v>215</v>
      </c>
      <c r="B18">
        <v>1</v>
      </c>
      <c r="C18">
        <v>10109</v>
      </c>
      <c r="D18" t="s">
        <v>219</v>
      </c>
      <c r="E18">
        <v>0</v>
      </c>
      <c r="F18">
        <v>101</v>
      </c>
      <c r="I18">
        <v>1</v>
      </c>
    </row>
    <row r="19" spans="1:9" x14ac:dyDescent="0.15">
      <c r="A19" s="1" t="s">
        <v>215</v>
      </c>
      <c r="B19">
        <v>1</v>
      </c>
      <c r="C19">
        <v>10110</v>
      </c>
      <c r="D19" t="s">
        <v>222</v>
      </c>
      <c r="E19">
        <v>0</v>
      </c>
      <c r="F19">
        <v>101</v>
      </c>
      <c r="I19">
        <v>1</v>
      </c>
    </row>
    <row r="20" spans="1:9" x14ac:dyDescent="0.15">
      <c r="A20" s="1" t="s">
        <v>215</v>
      </c>
      <c r="B20">
        <v>1</v>
      </c>
      <c r="C20">
        <v>10111</v>
      </c>
      <c r="D20" t="s">
        <v>219</v>
      </c>
      <c r="E20">
        <v>0</v>
      </c>
      <c r="F20">
        <v>101</v>
      </c>
      <c r="I20">
        <v>1</v>
      </c>
    </row>
    <row r="21" spans="1:9" x14ac:dyDescent="0.15">
      <c r="A21" s="1" t="s">
        <v>215</v>
      </c>
      <c r="B21">
        <v>1</v>
      </c>
      <c r="C21">
        <v>10112</v>
      </c>
      <c r="D21" t="s">
        <v>222</v>
      </c>
      <c r="E21">
        <v>0</v>
      </c>
      <c r="F21">
        <v>101</v>
      </c>
      <c r="I21">
        <v>1</v>
      </c>
    </row>
    <row r="22" spans="1:9" x14ac:dyDescent="0.15">
      <c r="A22" s="1" t="s">
        <v>215</v>
      </c>
      <c r="B22">
        <v>1</v>
      </c>
      <c r="C22">
        <v>10113</v>
      </c>
      <c r="D22" t="s">
        <v>219</v>
      </c>
      <c r="E22">
        <v>0</v>
      </c>
      <c r="F22">
        <v>101</v>
      </c>
      <c r="I22">
        <v>1</v>
      </c>
    </row>
    <row r="23" spans="1:9" x14ac:dyDescent="0.15">
      <c r="A23" s="1" t="s">
        <v>215</v>
      </c>
      <c r="B23">
        <v>1</v>
      </c>
      <c r="C23">
        <v>10114</v>
      </c>
      <c r="D23" t="s">
        <v>219</v>
      </c>
      <c r="E23">
        <v>0</v>
      </c>
      <c r="F23">
        <v>101</v>
      </c>
      <c r="I23">
        <v>1</v>
      </c>
    </row>
    <row r="24" spans="1:9" x14ac:dyDescent="0.15">
      <c r="A24" s="1" t="s">
        <v>215</v>
      </c>
      <c r="B24">
        <v>1</v>
      </c>
      <c r="C24">
        <v>10115</v>
      </c>
      <c r="D24" t="s">
        <v>219</v>
      </c>
      <c r="E24">
        <v>0</v>
      </c>
      <c r="F24">
        <v>101</v>
      </c>
      <c r="I24">
        <v>1</v>
      </c>
    </row>
    <row r="25" spans="1:9" x14ac:dyDescent="0.15">
      <c r="A25" s="1" t="s">
        <v>215</v>
      </c>
      <c r="B25">
        <v>1</v>
      </c>
      <c r="C25">
        <v>10116</v>
      </c>
      <c r="D25" t="s">
        <v>222</v>
      </c>
      <c r="E25">
        <v>0</v>
      </c>
      <c r="F25">
        <v>101</v>
      </c>
      <c r="I25">
        <v>1</v>
      </c>
    </row>
    <row r="26" spans="1:9" x14ac:dyDescent="0.15">
      <c r="A26" s="1" t="s">
        <v>216</v>
      </c>
      <c r="B26">
        <v>1</v>
      </c>
      <c r="C26">
        <v>10201</v>
      </c>
      <c r="D26" t="s">
        <v>220</v>
      </c>
      <c r="E26">
        <v>1</v>
      </c>
      <c r="F26">
        <v>102</v>
      </c>
      <c r="I26">
        <v>1</v>
      </c>
    </row>
    <row r="27" spans="1:9" x14ac:dyDescent="0.15">
      <c r="A27" s="1" t="s">
        <v>216</v>
      </c>
      <c r="B27">
        <v>1</v>
      </c>
      <c r="C27">
        <v>10202</v>
      </c>
      <c r="D27" t="s">
        <v>221</v>
      </c>
      <c r="E27">
        <v>1</v>
      </c>
      <c r="F27">
        <v>102</v>
      </c>
      <c r="I27">
        <v>1</v>
      </c>
    </row>
    <row r="28" spans="1:9" x14ac:dyDescent="0.15">
      <c r="A28" s="1" t="s">
        <v>216</v>
      </c>
      <c r="B28">
        <v>1</v>
      </c>
      <c r="C28">
        <f>C27+1</f>
        <v>10203</v>
      </c>
      <c r="D28" t="s">
        <v>220</v>
      </c>
      <c r="E28">
        <v>1</v>
      </c>
      <c r="F28">
        <v>102</v>
      </c>
      <c r="I28">
        <v>1</v>
      </c>
    </row>
    <row r="29" spans="1:9" x14ac:dyDescent="0.15">
      <c r="A29" s="1" t="s">
        <v>216</v>
      </c>
      <c r="B29">
        <v>1</v>
      </c>
      <c r="C29">
        <f t="shared" ref="C29:C42" si="0">C28+1</f>
        <v>10204</v>
      </c>
      <c r="D29" t="s">
        <v>220</v>
      </c>
      <c r="E29">
        <v>1</v>
      </c>
      <c r="F29">
        <v>102</v>
      </c>
      <c r="I29">
        <v>1</v>
      </c>
    </row>
    <row r="30" spans="1:9" x14ac:dyDescent="0.15">
      <c r="A30" s="1" t="s">
        <v>216</v>
      </c>
      <c r="B30">
        <v>1</v>
      </c>
      <c r="C30">
        <f t="shared" si="0"/>
        <v>10205</v>
      </c>
      <c r="D30" t="s">
        <v>221</v>
      </c>
      <c r="E30">
        <v>1</v>
      </c>
      <c r="F30">
        <v>102</v>
      </c>
      <c r="I30">
        <v>1</v>
      </c>
    </row>
    <row r="31" spans="1:9" x14ac:dyDescent="0.15">
      <c r="A31" s="1" t="s">
        <v>216</v>
      </c>
      <c r="B31">
        <v>1</v>
      </c>
      <c r="C31">
        <f t="shared" si="0"/>
        <v>10206</v>
      </c>
      <c r="D31" t="s">
        <v>220</v>
      </c>
      <c r="E31">
        <v>1</v>
      </c>
      <c r="F31">
        <v>102</v>
      </c>
      <c r="I31">
        <v>1</v>
      </c>
    </row>
    <row r="32" spans="1:9" x14ac:dyDescent="0.15">
      <c r="A32" s="1" t="s">
        <v>216</v>
      </c>
      <c r="B32">
        <v>1</v>
      </c>
      <c r="C32">
        <f t="shared" si="0"/>
        <v>10207</v>
      </c>
      <c r="D32" t="s">
        <v>220</v>
      </c>
      <c r="E32">
        <v>1</v>
      </c>
      <c r="F32">
        <v>102</v>
      </c>
      <c r="I32">
        <v>1</v>
      </c>
    </row>
    <row r="33" spans="1:9" x14ac:dyDescent="0.15">
      <c r="A33" s="1" t="s">
        <v>216</v>
      </c>
      <c r="B33">
        <v>1</v>
      </c>
      <c r="C33">
        <f t="shared" si="0"/>
        <v>10208</v>
      </c>
      <c r="D33" t="s">
        <v>221</v>
      </c>
      <c r="E33">
        <v>1</v>
      </c>
      <c r="F33">
        <v>102</v>
      </c>
      <c r="I33">
        <v>1</v>
      </c>
    </row>
    <row r="34" spans="1:9" x14ac:dyDescent="0.15">
      <c r="A34" s="1" t="s">
        <v>216</v>
      </c>
      <c r="B34">
        <v>1</v>
      </c>
      <c r="C34">
        <f t="shared" si="0"/>
        <v>10209</v>
      </c>
      <c r="D34" t="s">
        <v>220</v>
      </c>
      <c r="E34">
        <v>1</v>
      </c>
      <c r="F34">
        <v>102</v>
      </c>
      <c r="I34">
        <v>1</v>
      </c>
    </row>
    <row r="35" spans="1:9" x14ac:dyDescent="0.15">
      <c r="A35" s="1" t="s">
        <v>216</v>
      </c>
      <c r="B35">
        <v>1</v>
      </c>
      <c r="C35">
        <f t="shared" si="0"/>
        <v>10210</v>
      </c>
      <c r="D35" t="s">
        <v>220</v>
      </c>
      <c r="E35">
        <v>1</v>
      </c>
      <c r="F35">
        <v>102</v>
      </c>
      <c r="I35">
        <v>1</v>
      </c>
    </row>
    <row r="36" spans="1:9" x14ac:dyDescent="0.15">
      <c r="A36" s="1" t="s">
        <v>216</v>
      </c>
      <c r="B36">
        <v>1</v>
      </c>
      <c r="C36">
        <f t="shared" si="0"/>
        <v>10211</v>
      </c>
      <c r="D36" t="s">
        <v>221</v>
      </c>
      <c r="E36">
        <v>1</v>
      </c>
      <c r="F36">
        <v>102</v>
      </c>
      <c r="I36">
        <v>1</v>
      </c>
    </row>
    <row r="37" spans="1:9" x14ac:dyDescent="0.15">
      <c r="A37" s="1" t="s">
        <v>216</v>
      </c>
      <c r="B37">
        <v>1</v>
      </c>
      <c r="C37">
        <f t="shared" si="0"/>
        <v>10212</v>
      </c>
      <c r="D37" t="s">
        <v>220</v>
      </c>
      <c r="E37">
        <v>1</v>
      </c>
      <c r="F37">
        <v>102</v>
      </c>
      <c r="I37">
        <v>1</v>
      </c>
    </row>
    <row r="38" spans="1:9" x14ac:dyDescent="0.15">
      <c r="A38" s="1" t="s">
        <v>216</v>
      </c>
      <c r="B38">
        <v>1</v>
      </c>
      <c r="C38">
        <f t="shared" si="0"/>
        <v>10213</v>
      </c>
      <c r="D38" t="s">
        <v>220</v>
      </c>
      <c r="E38">
        <v>1</v>
      </c>
      <c r="F38">
        <v>102</v>
      </c>
      <c r="I38">
        <v>1</v>
      </c>
    </row>
    <row r="39" spans="1:9" x14ac:dyDescent="0.15">
      <c r="A39" s="1" t="s">
        <v>216</v>
      </c>
      <c r="B39">
        <v>1</v>
      </c>
      <c r="C39">
        <f t="shared" si="0"/>
        <v>10214</v>
      </c>
      <c r="D39" t="s">
        <v>220</v>
      </c>
      <c r="E39">
        <v>1</v>
      </c>
      <c r="F39">
        <v>102</v>
      </c>
      <c r="I39">
        <v>1</v>
      </c>
    </row>
    <row r="40" spans="1:9" x14ac:dyDescent="0.15">
      <c r="A40" s="1" t="s">
        <v>216</v>
      </c>
      <c r="B40">
        <v>1</v>
      </c>
      <c r="C40">
        <f t="shared" si="0"/>
        <v>10215</v>
      </c>
      <c r="D40" t="s">
        <v>221</v>
      </c>
      <c r="E40">
        <v>1</v>
      </c>
      <c r="F40">
        <v>102</v>
      </c>
      <c r="I40">
        <v>1</v>
      </c>
    </row>
    <row r="41" spans="1:9" x14ac:dyDescent="0.15">
      <c r="A41" s="1" t="s">
        <v>216</v>
      </c>
      <c r="B41">
        <v>1</v>
      </c>
      <c r="C41">
        <f t="shared" si="0"/>
        <v>10216</v>
      </c>
      <c r="D41" t="s">
        <v>220</v>
      </c>
      <c r="E41">
        <v>1</v>
      </c>
      <c r="F41">
        <v>102</v>
      </c>
      <c r="I41">
        <v>1</v>
      </c>
    </row>
    <row r="42" spans="1:9" x14ac:dyDescent="0.15">
      <c r="A42" s="1" t="s">
        <v>216</v>
      </c>
      <c r="B42">
        <v>1</v>
      </c>
      <c r="C42">
        <f t="shared" si="0"/>
        <v>10217</v>
      </c>
      <c r="D42" t="s">
        <v>221</v>
      </c>
      <c r="E42">
        <v>1</v>
      </c>
      <c r="F42">
        <v>102</v>
      </c>
      <c r="I42">
        <v>1</v>
      </c>
    </row>
    <row r="43" spans="1:9" x14ac:dyDescent="0.15">
      <c r="A43" s="1" t="s">
        <v>215</v>
      </c>
      <c r="B43">
        <v>1</v>
      </c>
      <c r="C43">
        <v>10301</v>
      </c>
      <c r="D43" t="s">
        <v>219</v>
      </c>
      <c r="E43">
        <v>0</v>
      </c>
      <c r="F43">
        <v>103</v>
      </c>
      <c r="I43">
        <v>1</v>
      </c>
    </row>
    <row r="44" spans="1:9" x14ac:dyDescent="0.15">
      <c r="A44" s="1" t="s">
        <v>215</v>
      </c>
      <c r="B44">
        <v>1</v>
      </c>
      <c r="C44">
        <f>C43+1</f>
        <v>10302</v>
      </c>
      <c r="D44" t="s">
        <v>219</v>
      </c>
      <c r="E44">
        <v>0</v>
      </c>
      <c r="F44">
        <v>103</v>
      </c>
      <c r="I44">
        <v>1</v>
      </c>
    </row>
    <row r="45" spans="1:9" x14ac:dyDescent="0.15">
      <c r="A45" s="1" t="s">
        <v>216</v>
      </c>
      <c r="B45">
        <v>1</v>
      </c>
      <c r="C45">
        <f t="shared" ref="C45:C55" si="1">C44+1</f>
        <v>10303</v>
      </c>
      <c r="D45" t="s">
        <v>221</v>
      </c>
      <c r="E45">
        <v>1</v>
      </c>
      <c r="F45">
        <v>103</v>
      </c>
      <c r="I45">
        <v>1</v>
      </c>
    </row>
    <row r="46" spans="1:9" x14ac:dyDescent="0.15">
      <c r="A46" s="1" t="s">
        <v>215</v>
      </c>
      <c r="B46">
        <v>1</v>
      </c>
      <c r="C46">
        <f t="shared" si="1"/>
        <v>10304</v>
      </c>
      <c r="D46" t="s">
        <v>222</v>
      </c>
      <c r="E46">
        <v>0</v>
      </c>
      <c r="F46">
        <v>103</v>
      </c>
      <c r="I46">
        <v>1</v>
      </c>
    </row>
    <row r="47" spans="1:9" x14ac:dyDescent="0.15">
      <c r="A47" s="1" t="s">
        <v>216</v>
      </c>
      <c r="B47">
        <v>1</v>
      </c>
      <c r="C47">
        <f t="shared" si="1"/>
        <v>10305</v>
      </c>
      <c r="D47" t="s">
        <v>220</v>
      </c>
      <c r="E47">
        <v>1</v>
      </c>
      <c r="F47">
        <v>103</v>
      </c>
      <c r="I47">
        <v>1</v>
      </c>
    </row>
    <row r="48" spans="1:9" x14ac:dyDescent="0.15">
      <c r="A48" s="1" t="s">
        <v>216</v>
      </c>
      <c r="B48">
        <v>1</v>
      </c>
      <c r="C48">
        <f t="shared" si="1"/>
        <v>10306</v>
      </c>
      <c r="D48" t="s">
        <v>221</v>
      </c>
      <c r="E48">
        <v>1</v>
      </c>
      <c r="F48">
        <v>103</v>
      </c>
      <c r="I48">
        <v>1</v>
      </c>
    </row>
    <row r="49" spans="1:9" x14ac:dyDescent="0.15">
      <c r="A49" s="1" t="s">
        <v>216</v>
      </c>
      <c r="B49">
        <v>1</v>
      </c>
      <c r="C49">
        <f t="shared" si="1"/>
        <v>10307</v>
      </c>
      <c r="D49" t="s">
        <v>221</v>
      </c>
      <c r="E49">
        <v>1</v>
      </c>
      <c r="F49">
        <v>103</v>
      </c>
      <c r="I49">
        <v>1</v>
      </c>
    </row>
    <row r="50" spans="1:9" x14ac:dyDescent="0.15">
      <c r="A50" s="1" t="s">
        <v>216</v>
      </c>
      <c r="B50">
        <v>1</v>
      </c>
      <c r="C50">
        <f t="shared" si="1"/>
        <v>10308</v>
      </c>
      <c r="D50" t="s">
        <v>220</v>
      </c>
      <c r="E50">
        <v>1</v>
      </c>
      <c r="F50">
        <v>103</v>
      </c>
      <c r="I50">
        <v>1</v>
      </c>
    </row>
    <row r="51" spans="1:9" x14ac:dyDescent="0.15">
      <c r="A51" s="1" t="s">
        <v>216</v>
      </c>
      <c r="B51">
        <v>1</v>
      </c>
      <c r="C51">
        <f t="shared" si="1"/>
        <v>10309</v>
      </c>
      <c r="D51" t="s">
        <v>221</v>
      </c>
      <c r="E51">
        <v>1</v>
      </c>
      <c r="F51">
        <v>103</v>
      </c>
      <c r="I51">
        <v>1</v>
      </c>
    </row>
    <row r="52" spans="1:9" x14ac:dyDescent="0.15">
      <c r="A52" s="1" t="s">
        <v>216</v>
      </c>
      <c r="B52">
        <v>1</v>
      </c>
      <c r="C52">
        <f t="shared" si="1"/>
        <v>10310</v>
      </c>
      <c r="D52" t="s">
        <v>220</v>
      </c>
      <c r="E52">
        <v>1</v>
      </c>
      <c r="F52">
        <v>103</v>
      </c>
      <c r="I52">
        <v>1</v>
      </c>
    </row>
    <row r="53" spans="1:9" x14ac:dyDescent="0.15">
      <c r="A53" s="1" t="s">
        <v>216</v>
      </c>
      <c r="B53">
        <v>1</v>
      </c>
      <c r="C53">
        <f t="shared" si="1"/>
        <v>10311</v>
      </c>
      <c r="D53" t="s">
        <v>221</v>
      </c>
      <c r="E53">
        <v>1</v>
      </c>
      <c r="F53">
        <v>103</v>
      </c>
      <c r="I53">
        <v>1</v>
      </c>
    </row>
    <row r="54" spans="1:9" x14ac:dyDescent="0.15">
      <c r="A54" s="1" t="s">
        <v>215</v>
      </c>
      <c r="B54">
        <v>1</v>
      </c>
      <c r="C54">
        <f t="shared" si="1"/>
        <v>10312</v>
      </c>
      <c r="D54" t="s">
        <v>222</v>
      </c>
      <c r="E54">
        <v>0</v>
      </c>
      <c r="F54">
        <v>103</v>
      </c>
      <c r="I54">
        <v>1</v>
      </c>
    </row>
    <row r="55" spans="1:9" x14ac:dyDescent="0.15">
      <c r="A55" s="1" t="s">
        <v>215</v>
      </c>
      <c r="B55">
        <v>1</v>
      </c>
      <c r="C55">
        <f t="shared" si="1"/>
        <v>10313</v>
      </c>
      <c r="D55" t="s">
        <v>222</v>
      </c>
      <c r="E55">
        <v>0</v>
      </c>
      <c r="F55">
        <v>103</v>
      </c>
      <c r="I55">
        <v>1</v>
      </c>
    </row>
    <row r="56" spans="1:9" x14ac:dyDescent="0.15">
      <c r="A56" s="1" t="s">
        <v>215</v>
      </c>
      <c r="B56">
        <v>1</v>
      </c>
      <c r="C56">
        <v>10501</v>
      </c>
      <c r="D56" t="s">
        <v>219</v>
      </c>
      <c r="E56">
        <v>0</v>
      </c>
      <c r="F56">
        <v>105</v>
      </c>
      <c r="I56">
        <v>1</v>
      </c>
    </row>
    <row r="57" spans="1:9" x14ac:dyDescent="0.15">
      <c r="A57" s="1" t="s">
        <v>215</v>
      </c>
      <c r="B57">
        <v>1</v>
      </c>
      <c r="C57">
        <f>C56+1</f>
        <v>10502</v>
      </c>
      <c r="D57" t="s">
        <v>222</v>
      </c>
      <c r="E57">
        <v>0</v>
      </c>
      <c r="F57">
        <v>105</v>
      </c>
      <c r="I57">
        <v>1</v>
      </c>
    </row>
    <row r="58" spans="1:9" x14ac:dyDescent="0.15">
      <c r="A58" s="1" t="s">
        <v>215</v>
      </c>
      <c r="B58">
        <v>1</v>
      </c>
      <c r="C58">
        <f t="shared" ref="C58:C68" si="2">C57+1</f>
        <v>10503</v>
      </c>
      <c r="D58" t="s">
        <v>219</v>
      </c>
      <c r="E58">
        <v>0</v>
      </c>
      <c r="F58">
        <v>105</v>
      </c>
      <c r="I58">
        <v>1</v>
      </c>
    </row>
    <row r="59" spans="1:9" x14ac:dyDescent="0.15">
      <c r="A59" s="1" t="s">
        <v>215</v>
      </c>
      <c r="B59">
        <v>1</v>
      </c>
      <c r="C59">
        <f t="shared" si="2"/>
        <v>10504</v>
      </c>
      <c r="D59" t="s">
        <v>222</v>
      </c>
      <c r="E59">
        <v>0</v>
      </c>
      <c r="F59">
        <v>105</v>
      </c>
      <c r="I59">
        <v>1</v>
      </c>
    </row>
    <row r="60" spans="1:9" x14ac:dyDescent="0.15">
      <c r="A60" s="1" t="s">
        <v>215</v>
      </c>
      <c r="B60">
        <v>1</v>
      </c>
      <c r="C60">
        <f t="shared" si="2"/>
        <v>10505</v>
      </c>
      <c r="D60" t="s">
        <v>219</v>
      </c>
      <c r="E60">
        <v>0</v>
      </c>
      <c r="F60">
        <v>105</v>
      </c>
      <c r="I60">
        <v>1</v>
      </c>
    </row>
    <row r="61" spans="1:9" x14ac:dyDescent="0.15">
      <c r="A61" s="1" t="s">
        <v>215</v>
      </c>
      <c r="B61">
        <v>1</v>
      </c>
      <c r="C61">
        <f t="shared" si="2"/>
        <v>10506</v>
      </c>
      <c r="D61" t="s">
        <v>219</v>
      </c>
      <c r="E61">
        <v>0</v>
      </c>
      <c r="F61">
        <v>105</v>
      </c>
      <c r="I61">
        <v>1</v>
      </c>
    </row>
    <row r="62" spans="1:9" x14ac:dyDescent="0.15">
      <c r="A62" s="1" t="s">
        <v>215</v>
      </c>
      <c r="B62">
        <v>1</v>
      </c>
      <c r="C62">
        <f t="shared" si="2"/>
        <v>10507</v>
      </c>
      <c r="D62" t="s">
        <v>222</v>
      </c>
      <c r="E62">
        <v>0</v>
      </c>
      <c r="F62">
        <v>105</v>
      </c>
      <c r="I62">
        <v>1</v>
      </c>
    </row>
    <row r="63" spans="1:9" x14ac:dyDescent="0.15">
      <c r="A63" s="1" t="s">
        <v>215</v>
      </c>
      <c r="B63">
        <v>1</v>
      </c>
      <c r="C63">
        <f t="shared" si="2"/>
        <v>10508</v>
      </c>
      <c r="D63" t="s">
        <v>219</v>
      </c>
      <c r="E63">
        <v>0</v>
      </c>
      <c r="F63">
        <v>105</v>
      </c>
      <c r="I63">
        <v>1</v>
      </c>
    </row>
    <row r="64" spans="1:9" x14ac:dyDescent="0.15">
      <c r="A64" s="1" t="s">
        <v>215</v>
      </c>
      <c r="B64">
        <v>1</v>
      </c>
      <c r="C64">
        <f t="shared" si="2"/>
        <v>10509</v>
      </c>
      <c r="D64" t="s">
        <v>222</v>
      </c>
      <c r="E64">
        <v>0</v>
      </c>
      <c r="F64">
        <v>105</v>
      </c>
      <c r="I64">
        <v>1</v>
      </c>
    </row>
    <row r="65" spans="1:9" x14ac:dyDescent="0.15">
      <c r="A65" s="1" t="s">
        <v>215</v>
      </c>
      <c r="B65">
        <v>1</v>
      </c>
      <c r="C65">
        <f t="shared" si="2"/>
        <v>10510</v>
      </c>
      <c r="D65" t="s">
        <v>219</v>
      </c>
      <c r="E65">
        <v>0</v>
      </c>
      <c r="F65">
        <v>105</v>
      </c>
      <c r="I65">
        <v>1</v>
      </c>
    </row>
    <row r="66" spans="1:9" x14ac:dyDescent="0.15">
      <c r="A66" s="1" t="s">
        <v>215</v>
      </c>
      <c r="B66">
        <v>1</v>
      </c>
      <c r="C66">
        <f t="shared" si="2"/>
        <v>10511</v>
      </c>
      <c r="D66" t="s">
        <v>219</v>
      </c>
      <c r="E66">
        <v>0</v>
      </c>
      <c r="F66">
        <v>105</v>
      </c>
      <c r="I66">
        <v>1</v>
      </c>
    </row>
    <row r="67" spans="1:9" x14ac:dyDescent="0.15">
      <c r="A67" s="1" t="s">
        <v>215</v>
      </c>
      <c r="B67">
        <v>1</v>
      </c>
      <c r="C67">
        <f t="shared" si="2"/>
        <v>10512</v>
      </c>
      <c r="D67" t="s">
        <v>219</v>
      </c>
      <c r="E67">
        <v>0</v>
      </c>
      <c r="F67">
        <v>105</v>
      </c>
      <c r="I67">
        <v>1</v>
      </c>
    </row>
    <row r="68" spans="1:9" x14ac:dyDescent="0.15">
      <c r="A68" s="1" t="s">
        <v>215</v>
      </c>
      <c r="B68">
        <v>1</v>
      </c>
      <c r="C68">
        <f t="shared" si="2"/>
        <v>10513</v>
      </c>
      <c r="D68" t="s">
        <v>222</v>
      </c>
      <c r="E68">
        <v>0</v>
      </c>
      <c r="F68">
        <v>105</v>
      </c>
      <c r="I68">
        <v>1</v>
      </c>
    </row>
    <row r="69" spans="1:9" x14ac:dyDescent="0.15">
      <c r="A69" s="1" t="s">
        <v>216</v>
      </c>
      <c r="B69">
        <v>1</v>
      </c>
      <c r="C69">
        <v>10601</v>
      </c>
      <c r="D69" t="s">
        <v>221</v>
      </c>
      <c r="E69">
        <v>1</v>
      </c>
      <c r="F69">
        <v>106</v>
      </c>
      <c r="I69">
        <v>1</v>
      </c>
    </row>
    <row r="70" spans="1:9" x14ac:dyDescent="0.15">
      <c r="A70" s="1" t="s">
        <v>216</v>
      </c>
      <c r="B70">
        <v>1</v>
      </c>
      <c r="C70">
        <f>C69+1</f>
        <v>10602</v>
      </c>
      <c r="D70" t="s">
        <v>220</v>
      </c>
      <c r="E70">
        <v>1</v>
      </c>
      <c r="F70">
        <v>106</v>
      </c>
      <c r="I70">
        <v>1</v>
      </c>
    </row>
    <row r="71" spans="1:9" x14ac:dyDescent="0.15">
      <c r="A71" s="1" t="s">
        <v>216</v>
      </c>
      <c r="B71">
        <v>1</v>
      </c>
      <c r="C71">
        <f t="shared" ref="C71:C83" si="3">C70+1</f>
        <v>10603</v>
      </c>
      <c r="D71" t="s">
        <v>220</v>
      </c>
      <c r="E71">
        <v>1</v>
      </c>
      <c r="F71">
        <v>106</v>
      </c>
      <c r="I71">
        <v>1</v>
      </c>
    </row>
    <row r="72" spans="1:9" x14ac:dyDescent="0.15">
      <c r="A72" s="1" t="s">
        <v>216</v>
      </c>
      <c r="B72">
        <v>1</v>
      </c>
      <c r="C72">
        <f t="shared" si="3"/>
        <v>10604</v>
      </c>
      <c r="D72" t="s">
        <v>221</v>
      </c>
      <c r="E72">
        <v>1</v>
      </c>
      <c r="F72">
        <v>106</v>
      </c>
      <c r="I72">
        <v>1</v>
      </c>
    </row>
    <row r="73" spans="1:9" x14ac:dyDescent="0.15">
      <c r="A73" s="1" t="s">
        <v>216</v>
      </c>
      <c r="B73">
        <v>1</v>
      </c>
      <c r="C73">
        <f t="shared" si="3"/>
        <v>10605</v>
      </c>
      <c r="D73" t="s">
        <v>220</v>
      </c>
      <c r="E73">
        <v>1</v>
      </c>
      <c r="F73">
        <v>106</v>
      </c>
      <c r="I73">
        <v>1</v>
      </c>
    </row>
    <row r="74" spans="1:9" x14ac:dyDescent="0.15">
      <c r="A74" s="1" t="s">
        <v>216</v>
      </c>
      <c r="B74">
        <v>1</v>
      </c>
      <c r="C74">
        <f t="shared" si="3"/>
        <v>10606</v>
      </c>
      <c r="D74" t="s">
        <v>220</v>
      </c>
      <c r="E74">
        <v>1</v>
      </c>
      <c r="F74">
        <v>106</v>
      </c>
      <c r="I74">
        <v>1</v>
      </c>
    </row>
    <row r="75" spans="1:9" x14ac:dyDescent="0.15">
      <c r="A75" s="1" t="s">
        <v>216</v>
      </c>
      <c r="B75">
        <v>1</v>
      </c>
      <c r="C75">
        <f t="shared" si="3"/>
        <v>10607</v>
      </c>
      <c r="D75" t="s">
        <v>221</v>
      </c>
      <c r="E75">
        <v>1</v>
      </c>
      <c r="F75">
        <v>106</v>
      </c>
      <c r="I75">
        <v>1</v>
      </c>
    </row>
    <row r="76" spans="1:9" x14ac:dyDescent="0.15">
      <c r="A76" s="1" t="s">
        <v>216</v>
      </c>
      <c r="B76">
        <v>1</v>
      </c>
      <c r="C76">
        <f t="shared" si="3"/>
        <v>10608</v>
      </c>
      <c r="D76" t="s">
        <v>220</v>
      </c>
      <c r="E76">
        <v>1</v>
      </c>
      <c r="F76">
        <v>106</v>
      </c>
      <c r="I76">
        <v>1</v>
      </c>
    </row>
    <row r="77" spans="1:9" x14ac:dyDescent="0.15">
      <c r="A77" s="1" t="s">
        <v>216</v>
      </c>
      <c r="B77">
        <v>1</v>
      </c>
      <c r="C77">
        <f t="shared" si="3"/>
        <v>10609</v>
      </c>
      <c r="D77" t="s">
        <v>220</v>
      </c>
      <c r="E77">
        <v>1</v>
      </c>
      <c r="F77">
        <v>106</v>
      </c>
      <c r="I77">
        <v>1</v>
      </c>
    </row>
    <row r="78" spans="1:9" x14ac:dyDescent="0.15">
      <c r="A78" s="1" t="s">
        <v>216</v>
      </c>
      <c r="B78">
        <v>1</v>
      </c>
      <c r="C78">
        <f t="shared" si="3"/>
        <v>10610</v>
      </c>
      <c r="D78" t="s">
        <v>221</v>
      </c>
      <c r="E78">
        <v>1</v>
      </c>
      <c r="F78">
        <v>106</v>
      </c>
      <c r="I78">
        <v>1</v>
      </c>
    </row>
    <row r="79" spans="1:9" x14ac:dyDescent="0.15">
      <c r="A79" s="1" t="s">
        <v>216</v>
      </c>
      <c r="B79">
        <v>1</v>
      </c>
      <c r="C79">
        <f t="shared" si="3"/>
        <v>10611</v>
      </c>
      <c r="D79" t="s">
        <v>220</v>
      </c>
      <c r="E79">
        <v>1</v>
      </c>
      <c r="F79">
        <v>106</v>
      </c>
      <c r="I79">
        <v>1</v>
      </c>
    </row>
    <row r="80" spans="1:9" x14ac:dyDescent="0.15">
      <c r="A80" s="1" t="s">
        <v>216</v>
      </c>
      <c r="B80">
        <v>1</v>
      </c>
      <c r="C80">
        <f t="shared" si="3"/>
        <v>10612</v>
      </c>
      <c r="D80" t="s">
        <v>220</v>
      </c>
      <c r="E80">
        <v>1</v>
      </c>
      <c r="F80">
        <v>106</v>
      </c>
      <c r="I80">
        <v>1</v>
      </c>
    </row>
    <row r="81" spans="1:9" x14ac:dyDescent="0.15">
      <c r="A81" s="1" t="s">
        <v>216</v>
      </c>
      <c r="B81">
        <v>1</v>
      </c>
      <c r="C81">
        <f t="shared" si="3"/>
        <v>10613</v>
      </c>
      <c r="D81" t="s">
        <v>221</v>
      </c>
      <c r="E81">
        <v>1</v>
      </c>
      <c r="F81">
        <v>106</v>
      </c>
      <c r="I81">
        <v>1</v>
      </c>
    </row>
    <row r="82" spans="1:9" x14ac:dyDescent="0.15">
      <c r="A82" s="1" t="s">
        <v>216</v>
      </c>
      <c r="B82">
        <v>1</v>
      </c>
      <c r="C82">
        <f t="shared" si="3"/>
        <v>10614</v>
      </c>
      <c r="D82" t="s">
        <v>220</v>
      </c>
      <c r="E82">
        <v>1</v>
      </c>
      <c r="F82">
        <v>106</v>
      </c>
      <c r="I82">
        <v>1</v>
      </c>
    </row>
    <row r="83" spans="1:9" x14ac:dyDescent="0.15">
      <c r="A83" s="1" t="s">
        <v>216</v>
      </c>
      <c r="B83">
        <v>1</v>
      </c>
      <c r="C83">
        <f t="shared" si="3"/>
        <v>10615</v>
      </c>
      <c r="D83" t="s">
        <v>221</v>
      </c>
      <c r="E83">
        <v>1</v>
      </c>
      <c r="F83">
        <v>106</v>
      </c>
      <c r="I83">
        <v>1</v>
      </c>
    </row>
    <row r="84" spans="1:9" x14ac:dyDescent="0.15">
      <c r="A84" s="1" t="s">
        <v>216</v>
      </c>
      <c r="B84">
        <v>1</v>
      </c>
      <c r="C84">
        <v>10701</v>
      </c>
      <c r="D84" t="s">
        <v>221</v>
      </c>
      <c r="E84">
        <v>1</v>
      </c>
      <c r="F84">
        <v>107</v>
      </c>
      <c r="I84">
        <v>1</v>
      </c>
    </row>
    <row r="85" spans="1:9" x14ac:dyDescent="0.15">
      <c r="A85" s="1" t="s">
        <v>215</v>
      </c>
      <c r="B85">
        <v>1</v>
      </c>
      <c r="C85">
        <f>C84+1</f>
        <v>10702</v>
      </c>
      <c r="D85" t="s">
        <v>219</v>
      </c>
      <c r="E85">
        <v>0</v>
      </c>
      <c r="F85">
        <v>107</v>
      </c>
      <c r="I85">
        <v>1</v>
      </c>
    </row>
    <row r="86" spans="1:9" x14ac:dyDescent="0.15">
      <c r="A86" s="1" t="s">
        <v>216</v>
      </c>
      <c r="B86">
        <v>1</v>
      </c>
      <c r="C86">
        <f t="shared" ref="C86:C90" si="4">C85+1</f>
        <v>10703</v>
      </c>
      <c r="D86" t="s">
        <v>221</v>
      </c>
      <c r="E86">
        <v>1</v>
      </c>
      <c r="F86">
        <v>107</v>
      </c>
      <c r="I86">
        <v>1</v>
      </c>
    </row>
    <row r="87" spans="1:9" x14ac:dyDescent="0.15">
      <c r="A87" s="1" t="s">
        <v>216</v>
      </c>
      <c r="B87">
        <v>1</v>
      </c>
      <c r="C87">
        <f t="shared" si="4"/>
        <v>10704</v>
      </c>
      <c r="D87" t="s">
        <v>221</v>
      </c>
      <c r="E87">
        <v>1</v>
      </c>
      <c r="F87">
        <v>107</v>
      </c>
      <c r="I87">
        <v>1</v>
      </c>
    </row>
    <row r="88" spans="1:9" x14ac:dyDescent="0.15">
      <c r="A88" s="1" t="s">
        <v>216</v>
      </c>
      <c r="B88">
        <v>1</v>
      </c>
      <c r="C88">
        <f t="shared" si="4"/>
        <v>10705</v>
      </c>
      <c r="D88" t="s">
        <v>221</v>
      </c>
      <c r="E88">
        <v>1</v>
      </c>
      <c r="F88">
        <v>107</v>
      </c>
      <c r="I88">
        <v>1</v>
      </c>
    </row>
    <row r="89" spans="1:9" x14ac:dyDescent="0.15">
      <c r="A89" s="1" t="s">
        <v>215</v>
      </c>
      <c r="B89">
        <v>1</v>
      </c>
      <c r="C89">
        <f t="shared" si="4"/>
        <v>10706</v>
      </c>
      <c r="D89" t="s">
        <v>219</v>
      </c>
      <c r="E89">
        <v>0</v>
      </c>
      <c r="F89">
        <v>107</v>
      </c>
      <c r="I89">
        <v>1</v>
      </c>
    </row>
    <row r="90" spans="1:9" x14ac:dyDescent="0.15">
      <c r="A90" s="1" t="s">
        <v>215</v>
      </c>
      <c r="B90">
        <v>1</v>
      </c>
      <c r="C90">
        <f t="shared" si="4"/>
        <v>10707</v>
      </c>
      <c r="D90" t="s">
        <v>222</v>
      </c>
      <c r="E90">
        <v>0</v>
      </c>
      <c r="F90">
        <v>107</v>
      </c>
      <c r="I90">
        <v>1</v>
      </c>
    </row>
    <row r="91" spans="1:9" x14ac:dyDescent="0.15">
      <c r="A91" s="1" t="s">
        <v>216</v>
      </c>
      <c r="B91">
        <v>1</v>
      </c>
      <c r="C91">
        <v>10801</v>
      </c>
      <c r="D91" t="s">
        <v>223</v>
      </c>
      <c r="E91">
        <v>1</v>
      </c>
      <c r="F91">
        <v>108</v>
      </c>
      <c r="I91">
        <v>1</v>
      </c>
    </row>
    <row r="92" spans="1:9" x14ac:dyDescent="0.15">
      <c r="A92" s="1" t="s">
        <v>215</v>
      </c>
      <c r="B92">
        <v>1</v>
      </c>
      <c r="C92">
        <f>C91+1</f>
        <v>10802</v>
      </c>
      <c r="D92" t="s">
        <v>222</v>
      </c>
      <c r="E92">
        <v>0</v>
      </c>
      <c r="F92">
        <v>108</v>
      </c>
      <c r="I92">
        <v>1</v>
      </c>
    </row>
    <row r="93" spans="1:9" x14ac:dyDescent="0.15">
      <c r="A93" s="1" t="s">
        <v>215</v>
      </c>
      <c r="B93">
        <v>1</v>
      </c>
      <c r="C93">
        <f t="shared" ref="C93:C97" si="5">C92+1</f>
        <v>10803</v>
      </c>
      <c r="D93" t="s">
        <v>222</v>
      </c>
      <c r="E93">
        <v>0</v>
      </c>
      <c r="F93">
        <v>108</v>
      </c>
      <c r="I93">
        <v>1</v>
      </c>
    </row>
    <row r="94" spans="1:9" x14ac:dyDescent="0.15">
      <c r="A94" s="1" t="s">
        <v>216</v>
      </c>
      <c r="B94">
        <v>1</v>
      </c>
      <c r="C94">
        <f t="shared" si="5"/>
        <v>10804</v>
      </c>
      <c r="D94" t="s">
        <v>220</v>
      </c>
      <c r="E94">
        <v>1</v>
      </c>
      <c r="F94">
        <v>108</v>
      </c>
      <c r="I94">
        <v>1</v>
      </c>
    </row>
    <row r="95" spans="1:9" x14ac:dyDescent="0.15">
      <c r="A95" s="1" t="s">
        <v>216</v>
      </c>
      <c r="B95">
        <v>1</v>
      </c>
      <c r="C95">
        <f t="shared" si="5"/>
        <v>10805</v>
      </c>
      <c r="D95" t="s">
        <v>221</v>
      </c>
      <c r="E95">
        <v>1</v>
      </c>
      <c r="F95">
        <v>108</v>
      </c>
      <c r="I95">
        <v>1</v>
      </c>
    </row>
    <row r="96" spans="1:9" x14ac:dyDescent="0.15">
      <c r="A96" s="1" t="s">
        <v>216</v>
      </c>
      <c r="B96">
        <v>1</v>
      </c>
      <c r="C96">
        <f t="shared" si="5"/>
        <v>10806</v>
      </c>
      <c r="D96" t="s">
        <v>221</v>
      </c>
      <c r="E96">
        <v>1</v>
      </c>
      <c r="F96">
        <v>108</v>
      </c>
      <c r="I96">
        <v>1</v>
      </c>
    </row>
    <row r="97" spans="1:9" x14ac:dyDescent="0.15">
      <c r="A97" s="1" t="s">
        <v>215</v>
      </c>
      <c r="B97">
        <v>1</v>
      </c>
      <c r="C97">
        <f t="shared" si="5"/>
        <v>10807</v>
      </c>
      <c r="D97" t="s">
        <v>222</v>
      </c>
      <c r="E97">
        <v>0</v>
      </c>
      <c r="F97">
        <v>108</v>
      </c>
      <c r="I97">
        <v>1</v>
      </c>
    </row>
  </sheetData>
  <autoFilter ref="A1:I97" xr:uid="{93AE0611-20A0-1840-9E9B-14371E7348D8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9" sqref="H29"/>
    </sheetView>
  </sheetViews>
  <sheetFormatPr baseColWidth="10" defaultColWidth="9.1640625" defaultRowHeight="13" x14ac:dyDescent="0.15"/>
  <cols>
    <col min="1" max="1" width="13.5" customWidth="1"/>
    <col min="2" max="2" width="20.83203125" customWidth="1"/>
    <col min="3" max="3" width="5.1640625" customWidth="1"/>
    <col min="4" max="4" width="10.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5" customHeight="1" x14ac:dyDescent="0.15">
      <c r="A1" s="57" t="s">
        <v>87</v>
      </c>
      <c r="B1" s="57" t="s">
        <v>88</v>
      </c>
      <c r="C1" s="57" t="s">
        <v>89</v>
      </c>
      <c r="D1" s="57" t="s">
        <v>101</v>
      </c>
      <c r="E1" s="57" t="s">
        <v>102</v>
      </c>
      <c r="F1" s="57" t="s">
        <v>90</v>
      </c>
      <c r="G1" s="57" t="s">
        <v>111</v>
      </c>
      <c r="H1" s="57" t="s">
        <v>112</v>
      </c>
    </row>
    <row r="2" spans="1:8" ht="14" x14ac:dyDescent="0.15">
      <c r="A2" t="s">
        <v>187</v>
      </c>
      <c r="B2" s="16" t="s">
        <v>184</v>
      </c>
      <c r="C2" t="s">
        <v>186</v>
      </c>
      <c r="F2">
        <v>1</v>
      </c>
    </row>
    <row r="18" spans="2:8" x14ac:dyDescent="0.15">
      <c r="B18" s="16"/>
      <c r="D18" s="3"/>
      <c r="E18" s="3"/>
      <c r="G18" s="101"/>
      <c r="H18" s="16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E50" sqref="E50"/>
    </sheetView>
  </sheetViews>
  <sheetFormatPr baseColWidth="10" defaultColWidth="9.1640625" defaultRowHeight="13" x14ac:dyDescent="0.15"/>
  <cols>
    <col min="1" max="1" width="20.33203125" customWidth="1"/>
    <col min="2" max="2" width="16.5" bestFit="1" customWidth="1"/>
    <col min="3" max="3" width="17" bestFit="1" customWidth="1"/>
    <col min="4" max="4" width="24.1640625" bestFit="1" customWidth="1"/>
    <col min="5" max="5" width="24" bestFit="1" customWidth="1"/>
    <col min="6" max="8" width="9.1640625" style="4"/>
  </cols>
  <sheetData>
    <row r="1" spans="1:8" ht="26.5" customHeight="1" x14ac:dyDescent="0.15">
      <c r="A1" s="57" t="s">
        <v>45</v>
      </c>
      <c r="B1" s="57" t="s">
        <v>46</v>
      </c>
      <c r="C1" s="57" t="s">
        <v>47</v>
      </c>
      <c r="D1" s="57" t="s">
        <v>125</v>
      </c>
      <c r="E1" s="57" t="s">
        <v>48</v>
      </c>
      <c r="F1" s="93"/>
      <c r="G1" s="93"/>
      <c r="H1" s="93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1.33203125" customWidth="1"/>
    <col min="2" max="2" width="8.5" style="2" customWidth="1"/>
    <col min="3" max="3" width="12.6640625" bestFit="1" customWidth="1"/>
    <col min="4" max="4" width="15.6640625" customWidth="1"/>
    <col min="5" max="5" width="8.1640625" bestFit="1" customWidth="1"/>
    <col min="6" max="6" width="9.83203125" customWidth="1"/>
    <col min="7" max="7" width="14.83203125" bestFit="1" customWidth="1"/>
  </cols>
  <sheetData>
    <row r="1" spans="1:7" ht="26.5" customHeight="1" x14ac:dyDescent="0.15">
      <c r="A1" s="57" t="s">
        <v>30</v>
      </c>
      <c r="B1" s="57" t="s">
        <v>31</v>
      </c>
      <c r="C1" s="57" t="s">
        <v>32</v>
      </c>
      <c r="D1" s="57" t="s">
        <v>33</v>
      </c>
      <c r="E1" s="57" t="s">
        <v>34</v>
      </c>
      <c r="F1" s="57" t="s">
        <v>19</v>
      </c>
      <c r="G1" s="5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2.5" style="3" customWidth="1"/>
    <col min="2" max="3" width="11.83203125" style="3" customWidth="1"/>
    <col min="4" max="4" width="13.33203125" style="3" customWidth="1"/>
    <col min="5" max="5" width="11.83203125" style="3" customWidth="1"/>
  </cols>
  <sheetData>
    <row r="1" spans="1:5" ht="26.5" customHeight="1" x14ac:dyDescent="0.15">
      <c r="A1" s="57" t="s">
        <v>30</v>
      </c>
      <c r="B1" s="57" t="s">
        <v>35</v>
      </c>
      <c r="C1" s="57" t="s">
        <v>36</v>
      </c>
      <c r="D1" s="57" t="s">
        <v>37</v>
      </c>
      <c r="E1" s="5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3"/>
  <sheetViews>
    <sheetView zoomScale="150" zoomScaleNormal="150" workbookViewId="0">
      <pane ySplit="1" topLeftCell="A2" activePane="bottomLeft" state="frozen"/>
      <selection pane="bottomLeft" activeCell="L38" sqref="L38"/>
    </sheetView>
  </sheetViews>
  <sheetFormatPr baseColWidth="10" defaultColWidth="9.1640625" defaultRowHeight="13" x14ac:dyDescent="0.15"/>
  <cols>
    <col min="1" max="3" width="14.1640625" customWidth="1"/>
    <col min="4" max="4" width="17" customWidth="1"/>
  </cols>
  <sheetData>
    <row r="1" spans="1:4" ht="26.5" customHeight="1" x14ac:dyDescent="0.15">
      <c r="A1" s="57" t="s">
        <v>71</v>
      </c>
      <c r="B1" s="57" t="s">
        <v>72</v>
      </c>
      <c r="C1" s="57" t="s">
        <v>73</v>
      </c>
      <c r="D1" s="57" t="s">
        <v>74</v>
      </c>
    </row>
    <row r="2" spans="1:4" x14ac:dyDescent="0.15">
      <c r="A2" s="4"/>
      <c r="B2" s="4"/>
    </row>
    <row r="3" spans="1:4" x14ac:dyDescent="0.15">
      <c r="A3" s="4"/>
      <c r="B3" s="4"/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Microsoft Office User</cp:lastModifiedBy>
  <cp:lastPrinted>2011-06-01T18:01:02Z</cp:lastPrinted>
  <dcterms:created xsi:type="dcterms:W3CDTF">2007-06-08T15:45:31Z</dcterms:created>
  <dcterms:modified xsi:type="dcterms:W3CDTF">2022-07-17T20:13:46Z</dcterms:modified>
</cp:coreProperties>
</file>